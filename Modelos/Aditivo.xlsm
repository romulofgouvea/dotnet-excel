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vetta.sharepoint.com/sites/MRN-MAS/Documentos Compartilhados/Requisitos/Modelo Relatório de Homologação MRN/"/>
    </mc:Choice>
  </mc:AlternateContent>
  <xr:revisionPtr revIDLastSave="30" documentId="8_{4F689E40-824E-44C7-88A3-2B53CFCBC890}" xr6:coauthVersionLast="47" xr6:coauthVersionMax="47" xr10:uidLastSave="{B44C385E-910C-47D9-9866-490339543245}"/>
  <bookViews>
    <workbookView xWindow="28680" yWindow="-120" windowWidth="29040" windowHeight="16440" firstSheet="1" activeTab="1" xr2:uid="{00000000-000D-0000-FFFF-FFFF00000000}"/>
  </bookViews>
  <sheets>
    <sheet name="RH CT 3312" sheetId="1" state="hidden" r:id="rId1"/>
    <sheet name="RH TAC_CT3181" sheetId="4" r:id="rId2"/>
    <sheet name="Exportação_CT3181" sheetId="8" r:id="rId3"/>
    <sheet name="2º Take Off" sheetId="9" r:id="rId4"/>
    <sheet name="Cesta" sheetId="10" r:id="rId5"/>
    <sheet name="Check List" sheetId="7" state="hidden" r:id="rId6"/>
    <sheet name="Timeline" sheetId="6" state="hidden" r:id="rId7"/>
  </sheets>
  <externalReferences>
    <externalReference r:id="rId8"/>
    <externalReference r:id="rId9"/>
    <externalReference r:id="rId10"/>
  </externalReferences>
  <definedNames>
    <definedName name="_fck20">'[1]fck20MPa_BDI39,25%'!$L$47</definedName>
    <definedName name="_fck30">'[1]fck30MPa_BDI39,25%'!$L$47</definedName>
    <definedName name="_xlnm._FilterDatabase" localSheetId="0" hidden="1">'RH CT 3312'!#REF!</definedName>
    <definedName name="_xlnm._FilterDatabase" localSheetId="1" hidden="1">'RH TAC_CT3181'!#REF!</definedName>
    <definedName name="ACRESCIMO_HN">#REF!</definedName>
    <definedName name="alcada" localSheetId="0">#REF!</definedName>
    <definedName name="alcada" localSheetId="1">#REF!</definedName>
    <definedName name="alcada">#REF!</definedName>
    <definedName name="Analista" localSheetId="0">#REF!</definedName>
    <definedName name="Analista" localSheetId="1">#REF!</definedName>
    <definedName name="Analista">#REF!</definedName>
    <definedName name="_xlnm.Print_Area" localSheetId="0">'RH CT 3312'!$A$1:$S$67</definedName>
    <definedName name="_xlnm.Print_Area" localSheetId="1">'RH TAC_CT3181'!$A$1:$K$28</definedName>
    <definedName name="Cabecalho">"Grupo 1"</definedName>
    <definedName name="caracProcessoCompra" localSheetId="0">[2]Resumo!#REF!</definedName>
    <definedName name="caracProcessoCompra" localSheetId="1">[2]Resumo!#REF!</definedName>
    <definedName name="caracProcessoCompra">[2]Resumo!#REF!</definedName>
    <definedName name="ENCARGOS">#REF!</definedName>
    <definedName name="justificativaProcessoCompra" localSheetId="0">[2]Resumo!#REF!</definedName>
    <definedName name="justificativaProcessoCompra" localSheetId="1">[2]Resumo!#REF!</definedName>
    <definedName name="justificativaProcessoCompra">[2]Resumo!#REF!</definedName>
    <definedName name="QTDE_HE">#REF!</definedName>
    <definedName name="_xlnm.Print_Titles" localSheetId="0">'RH CT 3312'!$1:$3</definedName>
    <definedName name="_xlnm.Print_Titles" localSheetId="1">'RH TAC_CT3181'!$1:$3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" l="1"/>
  <c r="J12" i="4" s="1"/>
  <c r="K26" i="4"/>
  <c r="H9" i="10"/>
  <c r="H8" i="10"/>
  <c r="H7" i="10"/>
  <c r="K8" i="10" s="1"/>
  <c r="V53" i="9"/>
  <c r="V52" i="9"/>
  <c r="V51" i="9"/>
  <c r="V50" i="9"/>
  <c r="V49" i="9"/>
  <c r="V48" i="9"/>
  <c r="V47" i="9"/>
  <c r="V46" i="9"/>
  <c r="V45" i="9"/>
  <c r="V44" i="9"/>
  <c r="V41" i="9" s="1"/>
  <c r="V43" i="9"/>
  <c r="V42" i="9"/>
  <c r="Y38" i="9"/>
  <c r="AB38" i="9" s="1"/>
  <c r="X38" i="9"/>
  <c r="W38" i="9"/>
  <c r="AA38" i="9" s="1"/>
  <c r="V38" i="9"/>
  <c r="X37" i="9"/>
  <c r="W37" i="9"/>
  <c r="AA37" i="9" s="1"/>
  <c r="V37" i="9"/>
  <c r="X36" i="9"/>
  <c r="W36" i="9"/>
  <c r="AA36" i="9" s="1"/>
  <c r="V36" i="9"/>
  <c r="AB35" i="9"/>
  <c r="AA35" i="9"/>
  <c r="Y35" i="9"/>
  <c r="X35" i="9"/>
  <c r="W35" i="9"/>
  <c r="V35" i="9"/>
  <c r="Y34" i="9"/>
  <c r="AB34" i="9" s="1"/>
  <c r="X34" i="9"/>
  <c r="W34" i="9"/>
  <c r="AA34" i="9" s="1"/>
  <c r="V34" i="9"/>
  <c r="X33" i="9"/>
  <c r="W33" i="9"/>
  <c r="AA33" i="9" s="1"/>
  <c r="V33" i="9"/>
  <c r="X32" i="9"/>
  <c r="W32" i="9"/>
  <c r="AA32" i="9" s="1"/>
  <c r="V32" i="9"/>
  <c r="AB31" i="9"/>
  <c r="AA31" i="9"/>
  <c r="Y31" i="9"/>
  <c r="X31" i="9"/>
  <c r="W31" i="9"/>
  <c r="V31" i="9"/>
  <c r="Y30" i="9"/>
  <c r="AB30" i="9" s="1"/>
  <c r="X30" i="9"/>
  <c r="W30" i="9"/>
  <c r="AA30" i="9" s="1"/>
  <c r="V30" i="9"/>
  <c r="X29" i="9"/>
  <c r="W29" i="9"/>
  <c r="AA29" i="9" s="1"/>
  <c r="V29" i="9"/>
  <c r="X28" i="9"/>
  <c r="W28" i="9"/>
  <c r="AA28" i="9" s="1"/>
  <c r="V28" i="9"/>
  <c r="AB27" i="9"/>
  <c r="AA27" i="9"/>
  <c r="Y27" i="9"/>
  <c r="X27" i="9"/>
  <c r="W27" i="9"/>
  <c r="V27" i="9"/>
  <c r="V26" i="9"/>
  <c r="AA25" i="9"/>
  <c r="W25" i="9"/>
  <c r="U25" i="9"/>
  <c r="X25" i="9" s="1"/>
  <c r="W23" i="9"/>
  <c r="AA23" i="9" s="1"/>
  <c r="U23" i="9"/>
  <c r="X23" i="9" s="1"/>
  <c r="W22" i="9"/>
  <c r="AA22" i="9" s="1"/>
  <c r="U22" i="9"/>
  <c r="X22" i="9" s="1"/>
  <c r="AA21" i="9"/>
  <c r="W21" i="9"/>
  <c r="U21" i="9"/>
  <c r="X21" i="9" s="1"/>
  <c r="AA20" i="9"/>
  <c r="W20" i="9"/>
  <c r="U20" i="9"/>
  <c r="X20" i="9" s="1"/>
  <c r="Y20" i="9" s="1"/>
  <c r="AB20" i="9" s="1"/>
  <c r="AA19" i="9"/>
  <c r="Y19" i="9"/>
  <c r="AB19" i="9" s="1"/>
  <c r="X19" i="9"/>
  <c r="W19" i="9"/>
  <c r="U19" i="9"/>
  <c r="V19" i="9" s="1"/>
  <c r="X18" i="9"/>
  <c r="W18" i="9"/>
  <c r="Y18" i="9" s="1"/>
  <c r="AB18" i="9" s="1"/>
  <c r="U18" i="9"/>
  <c r="V18" i="9" s="1"/>
  <c r="X17" i="9"/>
  <c r="W17" i="9"/>
  <c r="AA17" i="9" s="1"/>
  <c r="V17" i="9"/>
  <c r="U17" i="9"/>
  <c r="W16" i="9"/>
  <c r="AA16" i="9" s="1"/>
  <c r="V16" i="9"/>
  <c r="U16" i="9"/>
  <c r="X16" i="9" s="1"/>
  <c r="W15" i="9"/>
  <c r="AA15" i="9" s="1"/>
  <c r="U15" i="9"/>
  <c r="V15" i="9" s="1"/>
  <c r="W14" i="9"/>
  <c r="AA14" i="9" s="1"/>
  <c r="U14" i="9"/>
  <c r="X14" i="9" s="1"/>
  <c r="AA13" i="9"/>
  <c r="W13" i="9"/>
  <c r="U13" i="9"/>
  <c r="X13" i="9" s="1"/>
  <c r="AA12" i="9"/>
  <c r="W12" i="9"/>
  <c r="U12" i="9"/>
  <c r="X12" i="9" s="1"/>
  <c r="Y12" i="9" s="1"/>
  <c r="K9" i="10" l="1"/>
  <c r="Y13" i="9"/>
  <c r="AB13" i="9" s="1"/>
  <c r="Y21" i="9"/>
  <c r="AB21" i="9" s="1"/>
  <c r="AB12" i="9"/>
  <c r="Y25" i="9"/>
  <c r="V14" i="9"/>
  <c r="Y17" i="9"/>
  <c r="AB17" i="9" s="1"/>
  <c r="AA18" i="9"/>
  <c r="V22" i="9"/>
  <c r="V23" i="9"/>
  <c r="Y29" i="9"/>
  <c r="AB29" i="9" s="1"/>
  <c r="Y33" i="9"/>
  <c r="AB33" i="9" s="1"/>
  <c r="Y37" i="9"/>
  <c r="AB37" i="9" s="1"/>
  <c r="V13" i="9"/>
  <c r="X15" i="9"/>
  <c r="Y16" i="9"/>
  <c r="AB16" i="9" s="1"/>
  <c r="V21" i="9"/>
  <c r="V25" i="9"/>
  <c r="V24" i="9" s="1"/>
  <c r="V12" i="9"/>
  <c r="V11" i="9" s="1"/>
  <c r="V10" i="9" s="1"/>
  <c r="Y15" i="9"/>
  <c r="AB15" i="9" s="1"/>
  <c r="V20" i="9"/>
  <c r="Y23" i="9"/>
  <c r="AB23" i="9" s="1"/>
  <c r="Y14" i="9"/>
  <c r="AB14" i="9" s="1"/>
  <c r="Y22" i="9"/>
  <c r="AB22" i="9" s="1"/>
  <c r="Y28" i="9"/>
  <c r="Y32" i="9"/>
  <c r="AB32" i="9" s="1"/>
  <c r="Y36" i="9"/>
  <c r="AB36" i="9" s="1"/>
  <c r="Y11" i="9" l="1"/>
  <c r="Y10" i="9" s="1"/>
  <c r="AB28" i="9"/>
  <c r="AB26" i="9" s="1"/>
  <c r="Y26" i="9"/>
  <c r="AB25" i="9"/>
  <c r="AB24" i="9" s="1"/>
  <c r="Y24" i="9"/>
  <c r="AB11" i="9"/>
  <c r="AB10" i="9" s="1"/>
  <c r="F9" i="10" l="1"/>
  <c r="G9" i="10" s="1"/>
  <c r="J9" i="10" s="1"/>
  <c r="F8" i="10"/>
  <c r="E8" i="10"/>
  <c r="E9" i="10"/>
  <c r="M7" i="10"/>
  <c r="G8" i="10" l="1"/>
  <c r="G7" i="10" s="1"/>
  <c r="J8" i="10" l="1"/>
  <c r="J7" i="10" s="1"/>
  <c r="N7" i="10" s="1"/>
  <c r="K7" i="10" l="1"/>
  <c r="O7" i="10" s="1"/>
  <c r="G19" i="4" l="1"/>
  <c r="H10" i="4"/>
  <c r="G10" i="4"/>
  <c r="D10" i="4"/>
  <c r="D11" i="4" s="1"/>
  <c r="D12" i="4" s="1"/>
  <c r="Q31" i="8"/>
  <c r="Q32" i="8"/>
  <c r="O27" i="8"/>
  <c r="O26" i="8"/>
  <c r="O25" i="8"/>
  <c r="O32" i="8" s="1"/>
  <c r="L12" i="6"/>
  <c r="M12" i="6"/>
  <c r="M11" i="6"/>
  <c r="E11" i="6"/>
  <c r="E12" i="6" s="1"/>
  <c r="F10" i="6"/>
  <c r="G10" i="6" s="1"/>
  <c r="H10" i="6" s="1"/>
  <c r="I11" i="4"/>
  <c r="M5" i="6"/>
  <c r="I11" i="7"/>
  <c r="I10" i="7"/>
  <c r="I9" i="7"/>
  <c r="I7" i="7"/>
  <c r="Q6" i="7"/>
  <c r="O6" i="7"/>
  <c r="I6" i="7"/>
  <c r="P5" i="7"/>
  <c r="I5" i="7"/>
  <c r="P4" i="7"/>
  <c r="I4" i="7"/>
  <c r="F4" i="6"/>
  <c r="F6" i="6" s="1"/>
  <c r="E5" i="6"/>
  <c r="G26" i="4" l="1"/>
  <c r="F12" i="4"/>
  <c r="E12" i="4"/>
  <c r="C19" i="4" s="1"/>
  <c r="F19" i="4"/>
  <c r="I10" i="4"/>
  <c r="E11" i="4"/>
  <c r="F12" i="6"/>
  <c r="N5" i="6"/>
  <c r="G4" i="6"/>
  <c r="G6" i="6" s="1"/>
  <c r="G12" i="6"/>
  <c r="H4" i="6"/>
  <c r="I4" i="6" s="1"/>
  <c r="J4" i="6" s="1"/>
  <c r="K4" i="6" s="1"/>
  <c r="L4" i="6" s="1"/>
  <c r="M4" i="6" s="1"/>
  <c r="N11" i="6"/>
  <c r="J11" i="4"/>
  <c r="F11" i="4"/>
  <c r="E6" i="6"/>
  <c r="H26" i="4" a="1"/>
  <c r="H26" i="4" l="1"/>
  <c r="H6" i="6"/>
  <c r="I10" i="6"/>
  <c r="J10" i="6" s="1"/>
  <c r="H12" i="6"/>
  <c r="I6" i="6"/>
  <c r="I12" i="6" l="1"/>
  <c r="J6" i="6"/>
  <c r="R4" i="4"/>
  <c r="K10" i="6" l="1"/>
  <c r="J12" i="6"/>
  <c r="K6" i="6"/>
  <c r="Q29" i="1"/>
  <c r="Q30" i="1" s="1"/>
  <c r="R17" i="1"/>
  <c r="Q17" i="1"/>
  <c r="N17" i="1"/>
  <c r="M17" i="1"/>
  <c r="L17" i="1"/>
  <c r="K17" i="1"/>
  <c r="J17" i="1"/>
  <c r="P16" i="1"/>
  <c r="R16" i="1"/>
  <c r="Q16" i="1"/>
  <c r="N16" i="1"/>
  <c r="M16" i="1"/>
  <c r="L16" i="1"/>
  <c r="K16" i="1"/>
  <c r="J16" i="1"/>
  <c r="K12" i="6" l="1"/>
  <c r="L10" i="6"/>
  <c r="M10" i="6" s="1"/>
  <c r="L6" i="6"/>
  <c r="H19" i="4"/>
  <c r="I19" i="4"/>
  <c r="E19" i="4"/>
  <c r="K15" i="1"/>
  <c r="R15" i="1"/>
  <c r="Q15" i="1"/>
  <c r="J15" i="1"/>
  <c r="K14" i="1"/>
  <c r="R14" i="1"/>
  <c r="Q14" i="1"/>
  <c r="J14" i="1"/>
  <c r="M6" i="6" l="1"/>
  <c r="N4" i="6"/>
  <c r="R24" i="1"/>
  <c r="I15" i="1"/>
  <c r="N10" i="6" l="1"/>
  <c r="I14" i="1"/>
  <c r="R29" i="1"/>
  <c r="I17" i="1" l="1"/>
  <c r="I16" i="1"/>
  <c r="F30" i="1"/>
  <c r="F32" i="1"/>
  <c r="C30" i="1" l="1"/>
  <c r="J32" i="1" s="1"/>
  <c r="R27" i="1"/>
  <c r="I27" i="1"/>
  <c r="R26" i="1"/>
  <c r="I26" i="1"/>
  <c r="J26" i="1" s="1"/>
  <c r="R25" i="1"/>
  <c r="I25" i="1"/>
  <c r="J25" i="1" s="1"/>
  <c r="AJ9" i="1"/>
  <c r="AK8" i="1"/>
  <c r="AJ8" i="1"/>
  <c r="AQ4" i="1"/>
  <c r="AP4" i="1"/>
  <c r="J30" i="1" l="1"/>
  <c r="P65" i="1"/>
  <c r="I32" i="1"/>
  <c r="I30" i="1"/>
  <c r="J27" i="1"/>
  <c r="S26" i="1" l="1"/>
  <c r="S24" i="1"/>
  <c r="S27" i="1"/>
  <c r="S25" i="1"/>
  <c r="D12" i="6" l="1"/>
  <c r="D10" i="6"/>
  <c r="D6" i="6"/>
  <c r="D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felipe.pecanha@tecnored.com.br</author>
  </authors>
  <commentList>
    <comment ref="Q30" authorId="0" shapeId="0" xr:uid="{00000000-0006-0000-0000-000001000000}">
      <text>
        <r>
          <rPr>
            <sz val="9"/>
            <color indexed="81"/>
            <rFont val="Tahoma"/>
            <family val="2"/>
          </rPr>
          <t>REALIZAR SOMA DE ACORDO COM CARACTERISTICAS DO PROCESSO= BID CYCLE + APROVAÇÃO DA OC (B22).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Souza, Welerson (Vetta Tecnologia S.A.)</author>
  </authors>
  <commentList>
    <comment ref="I3" authorId="0" shapeId="0" xr:uid="{977330AC-5552-4EBC-A8C3-46A9E77FBABC}">
      <text>
        <r>
          <rPr>
            <sz val="9"/>
            <color indexed="81"/>
            <rFont val="Segoe UI"/>
            <family val="2"/>
          </rPr>
          <t>As vezes a demanda não tem área, por isso é melhor colocar Diretoria, Área e Departamento.</t>
        </r>
      </text>
    </comment>
    <comment ref="J5" authorId="0" shapeId="0" xr:uid="{B549C6CD-4805-4A3E-95DB-9A3F5DDEFB2B}">
      <text>
        <r>
          <rPr>
            <sz val="9"/>
            <color indexed="81"/>
            <rFont val="Segoe UI"/>
            <family val="2"/>
          </rPr>
          <t>Não temos a conta contábil na demanda, apenas o CC, OI, OM.</t>
        </r>
      </text>
    </comment>
    <comment ref="B9" authorId="0" shapeId="0" xr:uid="{C7D9E545-8BAC-4B96-8AA8-6525F9491331}">
      <text>
        <r>
          <rPr>
            <sz val="9"/>
            <color indexed="81"/>
            <rFont val="Segoe UI"/>
            <family val="2"/>
          </rPr>
          <t>Verificar a possibilidade de incluir apenas as últimas 3 linhas de aditivo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<sst xmlns="http://schemas.openxmlformats.org/spreadsheetml/2006/main" count="739" uniqueCount="434">
  <si>
    <t>RELATÓRIO DE HOMOLOGAÇÃO - SERVIÇOS E MATERIAIS - AQUISIÇÃO</t>
  </si>
  <si>
    <t>GA - GERENCIA DE AQUISIÇÃO E LOGISTICA</t>
  </si>
  <si>
    <t xml:space="preserve">OC NR.: </t>
  </si>
  <si>
    <t>Caract. da OC:</t>
  </si>
  <si>
    <t>Contrato Jurídico:</t>
  </si>
  <si>
    <t>Solicitante:</t>
  </si>
  <si>
    <t>Área Requisitante:</t>
  </si>
  <si>
    <t>PCS/CT Nº.:</t>
  </si>
  <si>
    <t>Urgência na OC:</t>
  </si>
  <si>
    <t>OBJETO:</t>
  </si>
  <si>
    <t>Natureza Contábil</t>
  </si>
  <si>
    <t>JUSTIFICATIVA:</t>
  </si>
  <si>
    <t>Previsto Orçamento</t>
  </si>
  <si>
    <t>CONDIÇÕES COMERCIAIS DA PROPOSTA</t>
  </si>
  <si>
    <t>CLASSIFICAÇÃO</t>
  </si>
  <si>
    <t>1º</t>
  </si>
  <si>
    <t>2º</t>
  </si>
  <si>
    <t>3º</t>
  </si>
  <si>
    <t>4º</t>
  </si>
  <si>
    <t>5º</t>
  </si>
  <si>
    <t>6º</t>
  </si>
  <si>
    <t>7º</t>
  </si>
  <si>
    <t>PROPONENTES</t>
  </si>
  <si>
    <t>VARIAÇÃO DA PROPOSTA ( % )</t>
  </si>
  <si>
    <t>DIFERENÇA SOBRE O ORÇADO ( % )</t>
  </si>
  <si>
    <t>DIFERENÇA SOBRE MELHOR PROPOSTA EQUALIZADA (%)</t>
  </si>
  <si>
    <t>IDF (Indice de Desempenho do Fornecedor)</t>
  </si>
  <si>
    <t>CONDIÇÃO DE PAGAMENTO</t>
  </si>
  <si>
    <t>HISTÓRICO DO PROCESSO:</t>
  </si>
  <si>
    <t>DATAS</t>
  </si>
  <si>
    <t>DURAÇÃO DA ETAPA</t>
  </si>
  <si>
    <t>ACUMULADO</t>
  </si>
  <si>
    <t>CRIAÇÃO SC</t>
  </si>
  <si>
    <t>ANÁLISE TÉCNICA</t>
  </si>
  <si>
    <t>APROVAÇÃO OC</t>
  </si>
  <si>
    <t>ANÁLISE COMERCIAL</t>
  </si>
  <si>
    <t>ENVIO MERCADO</t>
  </si>
  <si>
    <t>APROVAÇÃO MINUTA</t>
  </si>
  <si>
    <t xml:space="preserve"> REC. PROPOSTAS</t>
  </si>
  <si>
    <t>RECOMENDAÇÃO HOMOLOGAÇÃO</t>
  </si>
  <si>
    <t>ORÇAMENTO</t>
  </si>
  <si>
    <t>SAVING ORÇAMENTO</t>
  </si>
  <si>
    <t>MENOR PROP. EQUALIZADA</t>
  </si>
  <si>
    <t xml:space="preserve">SAVING NEGOCIAÇÃO </t>
  </si>
  <si>
    <t>CHECK LIST:</t>
  </si>
  <si>
    <t>MENOS DE 03 PROPOSTAS VÁLIDAS</t>
  </si>
  <si>
    <t>MOTIVO:</t>
  </si>
  <si>
    <t>HOUVE DESCLASSIFICAÇÃO TÉCNICA</t>
  </si>
  <si>
    <t>GERÊNCIA/DIRETORIA:</t>
  </si>
  <si>
    <t>APROVADOR:</t>
  </si>
  <si>
    <t>:APROVADOR</t>
  </si>
  <si>
    <t>IMPORTAÇÃO</t>
  </si>
  <si>
    <t>MOEDA NEGOCIADA</t>
  </si>
  <si>
    <t xml:space="preserve">TAXA DE CÂMBIO </t>
  </si>
  <si>
    <t>VALOR FINAL</t>
  </si>
  <si>
    <t xml:space="preserve">SOLICITADO AUDITORIA DE </t>
  </si>
  <si>
    <t>CONTRATAÇÃO ACIMA DO</t>
  </si>
  <si>
    <t>SEGURANÇA?</t>
  </si>
  <si>
    <t>ORÇAMENTO ORIGINAL</t>
  </si>
  <si>
    <t xml:space="preserve">SESMT  MRN  </t>
  </si>
  <si>
    <t xml:space="preserve">GERÊNCIA FINANCEIRA CIENTE </t>
  </si>
  <si>
    <t>SESMT CONTRATADA</t>
  </si>
  <si>
    <t>DO CONTRATO?</t>
  </si>
  <si>
    <t>EMPRESA PREMIADA</t>
  </si>
  <si>
    <t>NO VALOR TOTAL DE:</t>
  </si>
  <si>
    <t>NO PRAZO DE EXECUÇÃO DE:</t>
  </si>
  <si>
    <t>GERENTE COMPRAS</t>
  </si>
  <si>
    <t>ASSINATURA</t>
  </si>
  <si>
    <t>(    )</t>
  </si>
  <si>
    <t>Analista Suprimentos:</t>
  </si>
  <si>
    <t>Sim</t>
  </si>
  <si>
    <t>Serviço</t>
  </si>
  <si>
    <t>Regina Abras</t>
  </si>
  <si>
    <t>Não</t>
  </si>
  <si>
    <t>PROPOSTA FINAL (R$)</t>
  </si>
  <si>
    <t>PROPOSTA EQUALIZADA (R$)</t>
  </si>
  <si>
    <t>PROPOSTA INICIAL (R$)</t>
  </si>
  <si>
    <t>-</t>
  </si>
  <si>
    <t>VALOR A CONTRATAR (R$)</t>
  </si>
  <si>
    <t>HISTÓRICO</t>
  </si>
  <si>
    <t>30 DFS</t>
  </si>
  <si>
    <t>VARIAÇÃO DA PROPOSTA (R$)</t>
  </si>
  <si>
    <t>Prazo Processo - Bid Cycle Padrão 126 dias</t>
  </si>
  <si>
    <t>( X )</t>
  </si>
  <si>
    <t>MÊS(ES)</t>
  </si>
  <si>
    <r>
      <t>Orçamento (VLR - BRL)</t>
    </r>
    <r>
      <rPr>
        <b/>
        <sz val="14"/>
        <rFont val="Arial"/>
        <family val="2"/>
      </rPr>
      <t>¹</t>
    </r>
    <r>
      <rPr>
        <b/>
        <sz val="11"/>
        <rFont val="Arial"/>
        <family val="2"/>
      </rPr>
      <t>:</t>
    </r>
  </si>
  <si>
    <t>-------</t>
  </si>
  <si>
    <r>
      <rPr>
        <b/>
        <u/>
        <sz val="9"/>
        <rFont val="Arial"/>
        <family val="2"/>
      </rPr>
      <t>NOTA:</t>
    </r>
    <r>
      <rPr>
        <b/>
        <sz val="13"/>
        <rFont val="Arial"/>
        <family val="2"/>
      </rPr>
      <t xml:space="preserve"> ¹</t>
    </r>
    <r>
      <rPr>
        <sz val="9"/>
        <rFont val="Arial"/>
        <family val="2"/>
      </rPr>
      <t xml:space="preserve"> Os preços totais das propostas equalizada e final no quadro acima inluem o adicional de 1% sobre o valor total, referente a despesas reembolsáveis, em concordância com a área requisitante.  </t>
    </r>
  </si>
  <si>
    <t>GERENTE SUPRIMENTOS (Aprovador Alternativo)</t>
  </si>
  <si>
    <t>Henrique Barbosa</t>
  </si>
  <si>
    <t>Ricardo Pedra</t>
  </si>
  <si>
    <t>GT</t>
  </si>
  <si>
    <t>NA</t>
  </si>
  <si>
    <t>(   )</t>
  </si>
  <si>
    <t>DF</t>
  </si>
  <si>
    <t>Yanto Luís de Farias Araújo</t>
  </si>
  <si>
    <t>57450011 / 29804</t>
  </si>
  <si>
    <t>Serviços de Construções Civis, Manutenções Civis e Manutenções Elétricas Prediais nas instalações de propriedade da Mineração Rio do Norte S.A – MRN e Vila Residencial, em Porto Trombetas, município de Oriximiná – PA</t>
  </si>
  <si>
    <t>Manter a integridade física das estruturas prediais, áreas urbanas e qualidade de vida de todos os alojados e residentes da vila residencial em PTR.</t>
  </si>
  <si>
    <t>MANSERV</t>
  </si>
  <si>
    <t>RIP</t>
  </si>
  <si>
    <t>CONSTRUTORA SANTANNA</t>
  </si>
  <si>
    <t>OMEGA</t>
  </si>
  <si>
    <t>Declinou</t>
  </si>
  <si>
    <r>
      <rPr>
        <b/>
        <sz val="10.5"/>
        <rFont val="Arial"/>
        <family val="2"/>
      </rPr>
      <t>OBSERVAÇÃO:</t>
    </r>
    <r>
      <rPr>
        <sz val="10.5"/>
        <rFont val="Arial"/>
        <family val="2"/>
      </rPr>
      <t xml:space="preserve"> </t>
    </r>
  </si>
  <si>
    <t>Em 14/06/2021 a GF enviou-nos o parecer favorável em relação à análse financeira da MANSERV FACILITIES LTDA  CNPJ 20.707.884/0001-26</t>
  </si>
  <si>
    <t>(  X )</t>
  </si>
  <si>
    <t>MANSERV FACILITIES LTDA</t>
  </si>
  <si>
    <t>GONGORA</t>
  </si>
  <si>
    <t>Proposta Técnica Desclassificada</t>
  </si>
  <si>
    <t>A CONTRATADA irá trabalhar com os próprios Técnicos de Segurança</t>
  </si>
  <si>
    <r>
      <rPr>
        <b/>
        <u/>
        <sz val="11"/>
        <rFont val="Arial"/>
        <family val="2"/>
      </rPr>
      <t xml:space="preserve">
Informações relevantes:</t>
    </r>
    <r>
      <rPr>
        <sz val="11"/>
        <rFont val="Arial"/>
        <family val="2"/>
      </rPr>
      <t xml:space="preserve">
Foram convidadas também as empresas </t>
    </r>
    <r>
      <rPr>
        <b/>
        <sz val="11"/>
        <rFont val="Arial"/>
        <family val="2"/>
      </rPr>
      <t>DAN HEBER</t>
    </r>
    <r>
      <rPr>
        <sz val="11"/>
        <rFont val="Arial"/>
        <family val="2"/>
      </rPr>
      <t xml:space="preserve">T, </t>
    </r>
    <r>
      <rPr>
        <b/>
        <sz val="11"/>
        <rFont val="Arial"/>
        <family val="2"/>
      </rPr>
      <t>REFRAMAX</t>
    </r>
    <r>
      <rPr>
        <sz val="11"/>
        <rFont val="Arial"/>
        <family val="2"/>
      </rPr>
      <t xml:space="preserve">, </t>
    </r>
    <r>
      <rPr>
        <b/>
        <sz val="11"/>
        <rFont val="Arial"/>
        <family val="2"/>
      </rPr>
      <t>MELLO AZEVEDO</t>
    </r>
    <r>
      <rPr>
        <sz val="11"/>
        <rFont val="Arial"/>
        <family val="2"/>
      </rPr>
      <t xml:space="preserve"> e </t>
    </r>
    <r>
      <rPr>
        <b/>
        <sz val="11"/>
        <rFont val="Arial"/>
        <family val="2"/>
      </rPr>
      <t>AC PARCERIA</t>
    </r>
    <r>
      <rPr>
        <sz val="11"/>
        <rFont val="Arial"/>
        <family val="2"/>
      </rPr>
      <t xml:space="preserve">, mas todas elas declinaram, não apresentando Proposta Técnica.
A </t>
    </r>
    <r>
      <rPr>
        <b/>
        <sz val="11"/>
        <rFont val="Arial"/>
        <family val="2"/>
      </rPr>
      <t>MANSERV</t>
    </r>
    <r>
      <rPr>
        <sz val="11"/>
        <rFont val="Arial"/>
        <family val="2"/>
      </rPr>
      <t xml:space="preserve"> inicialmente declinou do processo, mas, foi reinserida por solicitação do GAS e Diretor Comercial, contando também com o apoio da área requisitante na análise de sua Proposta Técnica, com o objetivo de atingirmos o orçamento previsto, o qual estava bem distante, quando do recebimento das Propostas iniciais. </t>
    </r>
  </si>
  <si>
    <t>PARENTE ANDRADE(*)</t>
  </si>
  <si>
    <t>NIPLAN (*)</t>
  </si>
  <si>
    <t xml:space="preserve">Nas reuniões para essa nova rodada de negociações, para as 3 primeiras colocadas, reforçamos sobre os seguintes pontos:
1) Sugerimos avaliar o histograma de mão de obra, tendo como base, possível revisão de produtividade;
2) Foi informado conforme deliberação da área requisitante que os serviços precificados em "hh" necessariamente não seriam realizados por equipe específica e sim pela mesma equipe responsável pelos itens com preços unitários definidos;
3) Sugerimos rever número de profissionais da equipe de gestão, pois alguns estavam bem acima em relação à sugestão MRN para tal equipe;
4) Por tratar-se de um contrato espcificamente de mão-de-obra, sugerimos verificar salários, indices de BDI ( o da RIP estava acima do valor praticado no contrato vigente) e Encargos Sociais aplicados;
5) Sugerimos verificar preços unitários de horas extras, sobre a possibilidade de estarem sendo cobrados em duplicidade recursos tais como , EPI, transporte, plano de saúde, etc.
6) Foi evidenciado que a mobilização da empresa vencedora deveria ocorrer em 30 dias a partir da assinatura da carta de intenção;
Após todas as abordagens individuais realizadas, com as Propostas recebidas praticamente definindo um cenário que apontava a MANSERV como vencedora do processo, por tratar-se de uma empresa que tem respaldo pela força de seu nome no mercado, mas, como substituta de outra grande empresa que tem contratos significativos na MRN, convocamos a área requisitante e realizamos também com a participação de nosso GAS, uma reunião para a exposição pela MANSERV de sua estratégia  para assumir esse novo contrato, assim como a area requisitante  fez a exposição de suas expectativas quanto uma possível desmobilização da empresa que estaria saindo e a possível mobilização da nova empresa que estará entrando para o site. Foi dito à MANSERV que essa reunião realizou-se com as as empresas mais bem colocadas no ranking do processo.
Após essa reunão, solicitou-se à MANSERV sua melhor proposta comercial e também sua Proposta Técnica Consolidada após revisados alguns critérios em função dessa última reunião realizada com a área requisitante. 
A seguir temos o panorama desse processo, apresentando os parâmetros comerciais, das Propostas Comerciais que estiveram ativas até a obtenção da Proposta Comercial mais vantajosa para a MRN.
</t>
  </si>
  <si>
    <t>DIRETORIA COMERCIAL</t>
  </si>
  <si>
    <t>DIRRETOR PRESIDENTE</t>
  </si>
  <si>
    <t>DP</t>
  </si>
  <si>
    <t>13XXX.XX</t>
  </si>
  <si>
    <r>
      <rPr>
        <b/>
        <u/>
        <sz val="11"/>
        <rFont val="Arial"/>
        <family val="2"/>
      </rPr>
      <t>Aprovação via Totvs:</t>
    </r>
    <r>
      <rPr>
        <sz val="11"/>
        <rFont val="Arial"/>
        <family val="2"/>
      </rPr>
      <t xml:space="preserve">
A OC nº </t>
    </r>
    <r>
      <rPr>
        <b/>
        <sz val="11"/>
        <color rgb="FFFF0000"/>
        <rFont val="Arial"/>
        <family val="2"/>
      </rPr>
      <t>13.XXX.XX</t>
    </r>
    <r>
      <rPr>
        <sz val="11"/>
        <rFont val="Arial"/>
        <family val="2"/>
      </rPr>
      <t xml:space="preserve"> foi aprovada para a nova contratação do escopo supracitado no inicio desse relatório de Homologação.
</t>
    </r>
    <r>
      <rPr>
        <b/>
        <u/>
        <sz val="11"/>
        <rFont val="Arial"/>
        <family val="2"/>
      </rPr>
      <t>Análise Técnica:</t>
    </r>
    <r>
      <rPr>
        <sz val="11"/>
        <rFont val="Arial"/>
        <family val="2"/>
      </rPr>
      <t xml:space="preserve">
Foram aprovadas as Propostas Técnicas das empresas RIP, PARENTE ANDRADE, OMEGA, NIPLAN, SANTANNA e MANSERV, sendo essa última durante a etapa comercial (*).
A Proposta Técnica da GONGORA &amp; ARAUJO, foi desqualificada após comentários não atendidos na revisão que apresentaram.
</t>
    </r>
    <r>
      <rPr>
        <b/>
        <u/>
        <sz val="11"/>
        <rFont val="Arial"/>
        <family val="2"/>
      </rPr>
      <t>Negociação Comercial:</t>
    </r>
    <r>
      <rPr>
        <sz val="11"/>
        <rFont val="Arial"/>
        <family val="2"/>
      </rPr>
      <t xml:space="preserve">
Na primeira análise das Propostas Comerciais, solicitamos às 5 proponentes iniciais que atendessem os pontos que poderiam influenciar nos preços unitários apresentados a saber:
1) Retirar de seu escopo quaisquer tipos de materiais, exceto os itens consumíveis (fita isolante, estopa, cola, etc.);
2) Inclusão dos preços unitários de todos os itens, mesmo aqueles que tinham quantidade igual a zero;
3) Confirmar que os preços unitários apresentados incluiam TODOS os custos necessários à operacionalidade do contrato;
Feitas essas considerações, obtivemos pequenas movimentações nos valores apresentados e nossa melhor proposta ainda estava 33,91%  acima do orçamento previsto (veja linha "PROPOSTA EQUALIZADA" desse relatório).
Quando da solicitação dessa primeira proposta revisada a OMEGA, já não mais retornou as nossas solicitações e saiu do processo por declinio reverso.
Nessa ocasião, já estava em análise, conforme solicitado pelo GAS como a anuência do Diretor Comercial MRN, a análise da Proposta Técnica da MANSERV e assim que a mesma foi aprovada, com o  objetivo de nos aproximarmos do orçamento previsto, solicitou-se uma estimativa comercial pelo Portal PARADIGMA, abrindo uma rodada específica para essa proponente que já havia declinado no início do processo.
Para nossa surpresa a 1ª Proposta da MANSERV já estava abaixo de todas as demais proponentes e 16,43% acima do orçamento previsto, sendo nosso melhor resultado comercial até então, conforme mostram os valores no item "</t>
    </r>
    <r>
      <rPr>
        <b/>
        <i/>
        <sz val="11"/>
        <rFont val="Arial"/>
        <family val="2"/>
      </rPr>
      <t>CONDIÇÕES COMERCIAIS DA PROPOSTA</t>
    </r>
    <r>
      <rPr>
        <sz val="11"/>
        <rFont val="Arial"/>
        <family val="2"/>
      </rPr>
      <t xml:space="preserve">" desse relatório.
Seguimos então com rodadas individuais de negociações com as proponentes RIP, PARENTE ANDRADE, SANTANNA, NIPLAN, incluindo a partir dessa etapa, a proponente MANSERV.
Com a RIP foi realizada reunião presencial em PTR entre seu Gerente, o gestor MRN do contrato atual (CT 2993) e a GAS, na qual foram pontuados os itens de maior peso em sua Proposta, baseados na análise de sua composição de preços unitários, produtividades, histogramas de mão de obra e demais recursos considerados. Com as demais proponentes as reuniões foram virtuais, via TEAMS.
A
</t>
    </r>
  </si>
  <si>
    <t>Orçamento (VLR - BRL):</t>
  </si>
  <si>
    <t>SIM</t>
  </si>
  <si>
    <t>NÃO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</si>
  <si>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</si>
  <si>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</si>
  <si>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</si>
  <si>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</si>
  <si>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</si>
  <si>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</si>
  <si>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</si>
  <si>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</si>
  <si>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</si>
  <si>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</si>
  <si>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CHECK</t>
  </si>
  <si>
    <t>Contratação em moeda estrangeira?</t>
  </si>
  <si>
    <t>Houve desclassificação técnica?</t>
  </si>
  <si>
    <t>Há no mínimo 3 propostas comerciais?</t>
  </si>
  <si>
    <t>Elegível a governança de contratos?</t>
  </si>
  <si>
    <t>SESMT MRN ou Contratada?</t>
  </si>
  <si>
    <t>Contratação direcionada?</t>
  </si>
  <si>
    <t>Ordem de Compra Emergencial, direcionada ou exclusividade?</t>
  </si>
  <si>
    <t>MRN</t>
  </si>
  <si>
    <t>Etapas</t>
  </si>
  <si>
    <t>Status</t>
  </si>
  <si>
    <t>Emiss. Docs.</t>
  </si>
  <si>
    <t>Carta Convite</t>
  </si>
  <si>
    <t>Esclarec.</t>
  </si>
  <si>
    <t>Prop. Técnica</t>
  </si>
  <si>
    <t>Parecer Téc.</t>
  </si>
  <si>
    <t>Prop. Comercial</t>
  </si>
  <si>
    <t>Parecer Com.</t>
  </si>
  <si>
    <t>Assinatura Docs</t>
  </si>
  <si>
    <t>Realizado</t>
  </si>
  <si>
    <t>Emissão OC</t>
  </si>
  <si>
    <t>(A)</t>
  </si>
  <si>
    <t>(B)</t>
  </si>
  <si>
    <t>(E)</t>
  </si>
  <si>
    <t>(C = B - A)</t>
  </si>
  <si>
    <t>(D = A / B - 1)</t>
  </si>
  <si>
    <t>INFORMAÇÕES ORÇAMENTO | SAVING ORÇAMENTO | SAVING NEGOCIAÇÃO</t>
  </si>
  <si>
    <t>(D = A / E- 1)</t>
  </si>
  <si>
    <t>(F = E - A)</t>
  </si>
  <si>
    <t>GERENTE DE SUPRIMENTOS</t>
  </si>
  <si>
    <t>Ricardo Alves</t>
  </si>
  <si>
    <t>Guido Germani</t>
  </si>
  <si>
    <t>Henrique Oliveira</t>
  </si>
  <si>
    <t>CT Nº.:</t>
  </si>
  <si>
    <t>DIRETOR PRESIDENTE</t>
  </si>
  <si>
    <t>PRAZO DE EXECUÇÃO:</t>
  </si>
  <si>
    <t>DIRETOR ESPECÍFICO</t>
  </si>
  <si>
    <t>VALOR TOTAL:</t>
  </si>
  <si>
    <t>1º TAC</t>
  </si>
  <si>
    <t>CONTRATO INICIAL</t>
  </si>
  <si>
    <t>Variação do Valor do CT Original (%)</t>
  </si>
  <si>
    <t>Data de início da vigência¹</t>
  </si>
  <si>
    <t>Data de término da vigência</t>
  </si>
  <si>
    <t>Prazo Total Acumulado (dias)</t>
  </si>
  <si>
    <t>Variação do Prazo (Dias)</t>
  </si>
  <si>
    <t>Descrição</t>
  </si>
  <si>
    <t>Escopo</t>
  </si>
  <si>
    <t>Aditivo de Valor</t>
  </si>
  <si>
    <t xml:space="preserve">CONDIÇÕES COMERCIAIS </t>
  </si>
  <si>
    <t>ORÇAMENTO 
(R$)</t>
  </si>
  <si>
    <t>RELATÓRIO DE HOMOLOGAÇÃO - ADITIVO DE CONTRATOS DE SERVIÇOS</t>
  </si>
  <si>
    <t>GAS - GERENCIA DE AQUISIÇÃO DE SERVIÇOS</t>
  </si>
  <si>
    <t>Caracterisca do aditivo</t>
  </si>
  <si>
    <t>Termo Aditivo</t>
  </si>
  <si>
    <t>Contrato Original</t>
  </si>
  <si>
    <t>PROPOSTA INICIAL 
(R$)</t>
  </si>
  <si>
    <t>SAVING NEGOCIAÇÃO 
(R$)</t>
  </si>
  <si>
    <t>SAVING NEGOCIAÇÃO 
(%)</t>
  </si>
  <si>
    <t>SAVING ORÇAMENTO 
(%)</t>
  </si>
  <si>
    <t>SAVING ORÇAMENTO 
(R$)</t>
  </si>
  <si>
    <t>VALOR TAC
(R$)</t>
  </si>
  <si>
    <t xml:space="preserve">OC Nº.: </t>
  </si>
  <si>
    <t>Valor Total Acumulado 
(R$)</t>
  </si>
  <si>
    <t>Valor do Aditivo 
(R$)</t>
  </si>
  <si>
    <t>Bid Cycle</t>
  </si>
  <si>
    <t>Até 
1,05 Mi</t>
  </si>
  <si>
    <t>&gt;
1,05 Mi</t>
  </si>
  <si>
    <t>2º TAC</t>
  </si>
  <si>
    <t>13335.63</t>
  </si>
  <si>
    <t>Anderson Vieira</t>
  </si>
  <si>
    <t>Leonardo Paiva</t>
  </si>
  <si>
    <t>Aditivo necessário em atendimento ao reajuste pactuado em contrato, conforme clausula 3.1 - Preço, atribuindo a devida continuidade das atividades de ajustes dos documentos de suporte ao EIA-RIMA do Projeto de Novas Minas e no apoio no desemvolvimento da engenharia FEL2.</t>
  </si>
  <si>
    <t>MEDIÇÃO DO CONTRATO</t>
  </si>
  <si>
    <t>CONTRATADA:</t>
  </si>
  <si>
    <t>WORLEYPARSONS ENGENHARIA LTDA</t>
  </si>
  <si>
    <t>ÚLTIMO ADITIVO:</t>
  </si>
  <si>
    <t>1 - 25/03/2021 - 09:08:55 h</t>
  </si>
  <si>
    <t>CONTRATO:</t>
  </si>
  <si>
    <t>NÚMERO DA MEDIÇÃO:</t>
  </si>
  <si>
    <t>OBJETO CONTRATUAL:</t>
  </si>
  <si>
    <t>VIGÊNCIA – Início:</t>
  </si>
  <si>
    <t>PERÍODO –    De:</t>
  </si>
  <si>
    <t xml:space="preserve"> O objeto do presente Contrato consiste na execução pela CONTRATADA, de
serviços de Engenharia necessárias à elaboração e consolidação de
documentação técnica de projeto e estudos, nas fases Conceitual, Básico e
Detalhado e serviços de campo para o PAR01 ? Programa de Alternativas de
Disposição de Rejeitos, que engloba o desenvolvimento de novas tecnologias e
metodologias para o sistema de rejeito MRN.</t>
  </si>
  <si>
    <t>Fim:</t>
  </si>
  <si>
    <t>Até:</t>
  </si>
  <si>
    <t>Gestor Técnico:</t>
  </si>
  <si>
    <t>RESPONSÁVEL:</t>
  </si>
  <si>
    <t/>
  </si>
  <si>
    <t>USER ID:</t>
  </si>
  <si>
    <t>____/____/________          ______________________________</t>
  </si>
  <si>
    <t>NOTA FISCAL:</t>
  </si>
  <si>
    <t>Data Aprovação                Assinatura do Gestor Técnico</t>
  </si>
  <si>
    <t xml:space="preserve">Sequência Item </t>
  </si>
  <si>
    <t>Unidade</t>
  </si>
  <si>
    <t>Quantidade da Medição</t>
  </si>
  <si>
    <t xml:space="preserve">Preço </t>
  </si>
  <si>
    <t>Valor Total</t>
  </si>
  <si>
    <t>Valores Contratuais</t>
  </si>
  <si>
    <t>Unitário</t>
  </si>
  <si>
    <t>da Medição</t>
  </si>
  <si>
    <t>Limite Qtde</t>
  </si>
  <si>
    <t>Limite Valor</t>
  </si>
  <si>
    <t>Serviços de Engenharia necessárias à elaboração e consolidação de
documentação técnica de projeto e estudos, nas fases Conceitual, Básico e
Detalhado e serviços de campo para o PAR01 ? Programa de Alternativas de
Disposição de Rejeitos, que engloba o desenvolvimento de novas tecnologias e
metodologias para o sistema de rejeito MRN</t>
  </si>
  <si>
    <t>vb</t>
  </si>
  <si>
    <t>Despesas reembolsáveis</t>
  </si>
  <si>
    <t>1ºTAC REFERENTE À CONTINUIDADE DAS ATIVIDADES DE ENGENHARIA</t>
  </si>
  <si>
    <t>VB</t>
  </si>
  <si>
    <t>TOTAL DA MEDIÇÃO:</t>
  </si>
  <si>
    <t>ID</t>
  </si>
  <si>
    <t>Fórmula Paramétrica (MRN)</t>
  </si>
  <si>
    <t>Diferença</t>
  </si>
  <si>
    <t>Início</t>
  </si>
  <si>
    <t>Término</t>
  </si>
  <si>
    <t>Acm no ano</t>
  </si>
  <si>
    <t>Peso R$ CPU (D)</t>
  </si>
  <si>
    <t>Índice Reajuste</t>
  </si>
  <si>
    <t>Dif. Faturada</t>
  </si>
  <si>
    <t>(C=B-A)</t>
  </si>
  <si>
    <t>(D)</t>
  </si>
  <si>
    <t>(F = C * E)</t>
  </si>
  <si>
    <t>(G = F * D)</t>
  </si>
  <si>
    <t>(H)</t>
  </si>
  <si>
    <t>(I = H * D)</t>
  </si>
  <si>
    <t>(J = H - F)</t>
  </si>
  <si>
    <t>(K = I - G)</t>
  </si>
  <si>
    <t>Indicadores reajuste - Projeto Engenharia</t>
  </si>
  <si>
    <t>1.1</t>
  </si>
  <si>
    <t>Economic - IGP-DI (161384) - BR - Index - FGV</t>
  </si>
  <si>
    <t>1.2</t>
  </si>
  <si>
    <t>Economics -  Specialized  Labor Cost - INCC-DI Stepwise Col. 72A (1004914) - BR - Index - FGV</t>
  </si>
  <si>
    <t>CT3181/20
Data Base - mar/20 | Período Índice: 2020@2021 - Vigência da PU (mar/21 a fev/22)</t>
  </si>
  <si>
    <t>IPCA (WORLEY)</t>
  </si>
  <si>
    <t>MINERAÇÃO RIO DO NORTE</t>
  </si>
  <si>
    <t>Nº Aditivo:</t>
  </si>
  <si>
    <t>Título:</t>
  </si>
  <si>
    <t>Revisão:</t>
  </si>
  <si>
    <t>Planilha de Quantidade e Preços</t>
  </si>
  <si>
    <t>Fornecedor:</t>
  </si>
  <si>
    <t>Contrato:</t>
  </si>
  <si>
    <t>ULTIMA VERSÃO DA PQ ASSOCIADA AO CONTRATO</t>
  </si>
  <si>
    <t>1A PQ</t>
  </si>
  <si>
    <t>2A PQ</t>
  </si>
  <si>
    <t>DADOS DA ULTIMA MEDIÇÃO</t>
  </si>
  <si>
    <t>NOVO ADITIVO</t>
  </si>
  <si>
    <t>ULTIMA PQ + NOVO ADITIVO</t>
  </si>
  <si>
    <t>SALDOS (APÓS ADITIVO)</t>
  </si>
  <si>
    <t>QUANTIDADES</t>
  </si>
  <si>
    <t>Valores</t>
  </si>
  <si>
    <t>ITEM</t>
  </si>
  <si>
    <t>STATUS ITENS T.O.</t>
  </si>
  <si>
    <t xml:space="preserve"> DESCRIÇÃO</t>
  </si>
  <si>
    <t>UND</t>
  </si>
  <si>
    <t>QUANT</t>
  </si>
  <si>
    <t>R$ UNIT</t>
  </si>
  <si>
    <t>VALOR TOTAL</t>
  </si>
  <si>
    <t>Anterior</t>
  </si>
  <si>
    <t>Periodo</t>
  </si>
  <si>
    <t>Acumulado</t>
  </si>
  <si>
    <t>Saldo</t>
  </si>
  <si>
    <t>Saldo %</t>
  </si>
  <si>
    <t>QUANT.</t>
  </si>
  <si>
    <t>CMS</t>
  </si>
  <si>
    <t>R$4.702.017,57</t>
  </si>
  <si>
    <t>2,508%</t>
  </si>
  <si>
    <t>1</t>
  </si>
  <si>
    <t>DESENVOLVIMENTO DE PROJETO CONCEITUAL E ESTUDOS DE VIABILIDADE</t>
  </si>
  <si>
    <t>R$4.652.017,57</t>
  </si>
  <si>
    <t>1,995%</t>
  </si>
  <si>
    <t>Sem Variação</t>
  </si>
  <si>
    <t>Gerente de Projeto</t>
  </si>
  <si>
    <t>Hh</t>
  </si>
  <si>
    <t>700,000</t>
  </si>
  <si>
    <t>R$398,48</t>
  </si>
  <si>
    <t>R$278.934,26</t>
  </si>
  <si>
    <t>716,500</t>
  </si>
  <si>
    <t>28,000</t>
  </si>
  <si>
    <t>744,500</t>
  </si>
  <si>
    <t>137,500</t>
  </si>
  <si>
    <t>15,58%</t>
  </si>
  <si>
    <t>Consultor</t>
  </si>
  <si>
    <t>747,000</t>
  </si>
  <si>
    <t>R$406,47</t>
  </si>
  <si>
    <t>R$303.633,80</t>
  </si>
  <si>
    <t>1716,000</t>
  </si>
  <si>
    <t>0,000</t>
  </si>
  <si>
    <t>-592,000</t>
  </si>
  <si>
    <t>-52,6%</t>
  </si>
  <si>
    <t>1.3</t>
  </si>
  <si>
    <t>Coordenação de Equipe</t>
  </si>
  <si>
    <t>1871,000</t>
  </si>
  <si>
    <t>R$302,81</t>
  </si>
  <si>
    <t>R$566.551,71</t>
  </si>
  <si>
    <t>2944,500</t>
  </si>
  <si>
    <t>178,000</t>
  </si>
  <si>
    <t>3122,500</t>
  </si>
  <si>
    <t>163,500</t>
  </si>
  <si>
    <t>4,975%</t>
  </si>
  <si>
    <t>1.4</t>
  </si>
  <si>
    <t>Engenheiro Master</t>
  </si>
  <si>
    <t>R$302,56</t>
  </si>
  <si>
    <t>R$566.083,53</t>
  </si>
  <si>
    <t>5087,000</t>
  </si>
  <si>
    <t>185,000</t>
  </si>
  <si>
    <t>5272,000</t>
  </si>
  <si>
    <t>-768,000</t>
  </si>
  <si>
    <t>-17,0%</t>
  </si>
  <si>
    <t>1.5</t>
  </si>
  <si>
    <t>Engenheiro Sênior</t>
  </si>
  <si>
    <t>2806,000</t>
  </si>
  <si>
    <t>R$172,07</t>
  </si>
  <si>
    <t>R$482.836,39</t>
  </si>
  <si>
    <t>4308,500</t>
  </si>
  <si>
    <t>128,000</t>
  </si>
  <si>
    <t>4436,500</t>
  </si>
  <si>
    <t>413,500</t>
  </si>
  <si>
    <t>8,525%</t>
  </si>
  <si>
    <t>1.6</t>
  </si>
  <si>
    <t>Engenheiro Pleno</t>
  </si>
  <si>
    <t>R$139,13</t>
  </si>
  <si>
    <t>R$390.391,76</t>
  </si>
  <si>
    <t>3553,500</t>
  </si>
  <si>
    <t>162,000</t>
  </si>
  <si>
    <t>3715,500</t>
  </si>
  <si>
    <t>480,4999467251</t>
  </si>
  <si>
    <t>11,45%</t>
  </si>
  <si>
    <t>1.7</t>
  </si>
  <si>
    <t>Engenheiro Especialista</t>
  </si>
  <si>
    <t>935,000</t>
  </si>
  <si>
    <t>R$380.050,34</t>
  </si>
  <si>
    <t>435,000</t>
  </si>
  <si>
    <t>100,0%</t>
  </si>
  <si>
    <t>1.8</t>
  </si>
  <si>
    <t>Engenheiro de Processo</t>
  </si>
  <si>
    <t>1309,000</t>
  </si>
  <si>
    <t>R$349,46</t>
  </si>
  <si>
    <t>R$457.437,29</t>
  </si>
  <si>
    <t>857,000</t>
  </si>
  <si>
    <t>746,000</t>
  </si>
  <si>
    <t>46,53%</t>
  </si>
  <si>
    <t>1.9</t>
  </si>
  <si>
    <t>Engenheiro de Planejamento</t>
  </si>
  <si>
    <t>R$321.948,29</t>
  </si>
  <si>
    <t>2796,500</t>
  </si>
  <si>
    <t>156,000</t>
  </si>
  <si>
    <t>2952,500</t>
  </si>
  <si>
    <t>148,500</t>
  </si>
  <si>
    <t>4,788%</t>
  </si>
  <si>
    <t>1.10</t>
  </si>
  <si>
    <t>Projetista Sênior</t>
  </si>
  <si>
    <t>R$122,76</t>
  </si>
  <si>
    <t>R$344.463,31</t>
  </si>
  <si>
    <t>5859,000</t>
  </si>
  <si>
    <t>134,000</t>
  </si>
  <si>
    <t>5993,000</t>
  </si>
  <si>
    <t>-1082,000</t>
  </si>
  <si>
    <t>-22,0%</t>
  </si>
  <si>
    <t>1.11</t>
  </si>
  <si>
    <t>Projetista Pleno</t>
  </si>
  <si>
    <t>R$108,68</t>
  </si>
  <si>
    <t>R$304.949,30</t>
  </si>
  <si>
    <t>782,000</t>
  </si>
  <si>
    <t>349,000</t>
  </si>
  <si>
    <t>30,85%</t>
  </si>
  <si>
    <t>1.12</t>
  </si>
  <si>
    <t>Técnico Sênior</t>
  </si>
  <si>
    <t>R$136,15</t>
  </si>
  <si>
    <t>R$254.737,59</t>
  </si>
  <si>
    <t>2769,000</t>
  </si>
  <si>
    <t>176,000</t>
  </si>
  <si>
    <t>2945,000</t>
  </si>
  <si>
    <t>14,000</t>
  </si>
  <si>
    <t>0,473%</t>
  </si>
  <si>
    <t>2</t>
  </si>
  <si>
    <t>DESPESAS REEMBOLSÁVEIS</t>
  </si>
  <si>
    <t>R$50.000,00</t>
  </si>
  <si>
    <t>74,14%</t>
  </si>
  <si>
    <t>2.1</t>
  </si>
  <si>
    <t>1,000</t>
  </si>
  <si>
    <t>0,2585812</t>
  </si>
  <si>
    <t>0,7414188</t>
  </si>
  <si>
    <t>DESENVOLVIMENTO DE PROJETO CONCEITUAL E ESTUDOS DE VIABILIDADE - 2º ADITIVO</t>
  </si>
  <si>
    <t>3.1</t>
  </si>
  <si>
    <t>Item Novo</t>
  </si>
  <si>
    <t>3.2</t>
  </si>
  <si>
    <t>3.3</t>
  </si>
  <si>
    <t>3.4</t>
  </si>
  <si>
    <t>3.5</t>
  </si>
  <si>
    <t>3.6</t>
  </si>
  <si>
    <t>3.7</t>
  </si>
  <si>
    <t>3.8</t>
  </si>
  <si>
    <t>3.9</t>
  </si>
  <si>
    <t>3.10</t>
  </si>
  <si>
    <t>3.11</t>
  </si>
  <si>
    <t>3.12</t>
  </si>
  <si>
    <t>Com base apresentado acima, mantivemos a negociação com o indicador reivindicado pela Contratada.
Diante do exposto, solicito aprovação pela alçada competente para formalização do 2º TAC junto à Contratada supracitada, conforme condições descritas neste Relatório de Homologação.</t>
  </si>
  <si>
    <t>WORLEY ENGENHARIA LTDA.</t>
  </si>
  <si>
    <t>Vitor Benevides</t>
  </si>
  <si>
    <t>Prestação de Serviços de Engenharia necessária à elaboração e consolidação de documentação técnica de projeto e estudos, nas fases Conceitual, Básico, Detalhado e serviços de campo para o PAR01 – Programa de Alternativas de Disposição de Rejeitos, que engloba o desenvolvimento de novas tecnologias e metodologias para o sistema de rejeito.</t>
  </si>
  <si>
    <r>
      <rPr>
        <b/>
        <u/>
        <sz val="11"/>
        <rFont val="Arial"/>
        <family val="2"/>
      </rPr>
      <t xml:space="preserve">Cenário:
</t>
    </r>
    <r>
      <rPr>
        <sz val="11"/>
        <rFont val="Arial"/>
        <family val="2"/>
      </rPr>
      <t xml:space="preserve">Aditivo necessário para a repactuação dos preços pleiteado pela parte “CONTRATADA”, referente ao período de mar/2020 à fev/2021, mais acréscimo de quantidade de horas para desenvolvimento de projetos que estão sendo demandados pela área requisitante.
</t>
    </r>
    <r>
      <rPr>
        <b/>
        <u/>
        <sz val="11"/>
        <rFont val="Arial"/>
        <family val="2"/>
      </rPr>
      <t xml:space="preserve">
Negociação:
</t>
    </r>
    <r>
      <rPr>
        <sz val="11"/>
        <rFont val="Arial"/>
        <family val="2"/>
      </rPr>
      <t xml:space="preserve">A Worley apresentou como índice para reajuste contratual o indexador IPCA, considerando o índice de 5,20%, acumulado no período de 12 meses (mar/20 a fev/21).
Como comparativo entre os índices aplicados utilizamos como referência a Fórmula Paramétrica, esta teve o percentual apurado de 5,26% contra 5,20% (IPCA) do percentual apresentado pela Contratada, conforme quadro demonstrativo apresentado abaixo:
</t>
    </r>
  </si>
  <si>
    <t>Valor / Prazo / Valor e Prazo / Outras</t>
  </si>
  <si>
    <t>DO - GD - GDL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</si>
</sst>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_(* #,##0.00_);_(* \(#,##0.00\);_(* &quot;-&quot;??_);_(@_)"/>
    <numFmt numFmtId="166" formatCode="0.0%"/>
    <numFmt numFmtId="167" formatCode="#,##0.00_ ;\-#,##0.00\ "/>
    <numFmt numFmtId="168" formatCode="##\ &quot;Meses&quot;"/>
    <numFmt numFmtId="169" formatCode="0;[Red]0"/>
    <numFmt numFmtId="170" formatCode="#,##0.0000"/>
    <numFmt numFmtId="171" formatCode="#,##0.000"/>
    <numFmt numFmtId="172" formatCode="#,##0.00_ ;[Red]\-#,##0.00\ "/>
    <numFmt numFmtId="173" formatCode="#,##0_ ;[Red]\-#,##0\ "/>
  </numFmts>
  <fonts count="58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.5"/>
      <name val="Arial"/>
      <family val="2"/>
    </font>
    <font>
      <b/>
      <sz val="10"/>
      <color indexed="8"/>
      <name val="Arial"/>
      <family val="2"/>
    </font>
    <font>
      <sz val="9"/>
      <color indexed="81"/>
      <name val="Tahoma"/>
      <family val="2"/>
    </font>
    <font>
      <sz val="10"/>
      <name val="Arial"/>
      <family val="2"/>
    </font>
    <font>
      <b/>
      <sz val="10.5"/>
      <name val="Arial"/>
      <family val="2"/>
    </font>
    <font>
      <b/>
      <sz val="11.5"/>
      <name val="Arial"/>
      <family val="2"/>
    </font>
    <font>
      <b/>
      <sz val="11"/>
      <color indexed="8"/>
      <name val="Arial"/>
      <family val="2"/>
    </font>
    <font>
      <b/>
      <sz val="10.5"/>
      <color indexed="8"/>
      <name val="Arial"/>
      <family val="2"/>
    </font>
    <font>
      <b/>
      <sz val="12.5"/>
      <name val="Arial"/>
      <family val="2"/>
    </font>
    <font>
      <sz val="11.5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9"/>
      <name val="Arial"/>
      <family val="2"/>
    </font>
    <font>
      <b/>
      <sz val="13"/>
      <name val="Arial"/>
      <family val="2"/>
    </font>
    <font>
      <b/>
      <u/>
      <sz val="9"/>
      <name val="Arial"/>
      <family val="2"/>
    </font>
    <font>
      <b/>
      <u/>
      <sz val="11"/>
      <name val="Arial"/>
      <family val="2"/>
    </font>
    <font>
      <b/>
      <i/>
      <sz val="11"/>
      <name val="Arial"/>
      <family val="2"/>
    </font>
    <font>
      <b/>
      <sz val="11"/>
      <color rgb="FFFF0000"/>
      <name val="Arial"/>
      <family val="2"/>
    </font>
    <font>
      <sz val="10.5"/>
      <color rgb="FFFF0000"/>
      <name val="Arial"/>
      <family val="2"/>
    </font>
    <font>
      <sz val="10"/>
      <name val="Arial"/>
      <family val="2"/>
    </font>
    <font>
      <sz val="10"/>
      <color rgb="FFFFFFFF"/>
      <name val="Arial"/>
      <family val="2"/>
    </font>
    <font>
      <sz val="9"/>
      <color rgb="FFFFFFFF"/>
      <name val="Arial"/>
      <family val="2"/>
    </font>
    <font>
      <b/>
      <sz val="10"/>
      <name val="Arial"/>
      <family val="1"/>
    </font>
    <font>
      <sz val="12"/>
      <name val="Arial"/>
      <family val="2"/>
    </font>
    <font>
      <sz val="10"/>
      <name val="Times New Roman"/>
      <family val="1"/>
    </font>
    <font>
      <b/>
      <sz val="10"/>
      <color indexed="9"/>
      <name val="Arial"/>
      <family val="2"/>
    </font>
    <font>
      <b/>
      <sz val="10"/>
      <color indexed="10"/>
      <name val="Arial"/>
      <family val="2"/>
    </font>
    <font>
      <sz val="10"/>
      <color indexed="23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20"/>
      <name val="Arial"/>
      <family val="2"/>
    </font>
    <font>
      <b/>
      <sz val="9"/>
      <name val="Calibri"/>
      <family val="2"/>
    </font>
    <font>
      <b/>
      <sz val="9"/>
      <color rgb="FFFFFFFF"/>
      <name val="Calibri"/>
      <family val="2"/>
    </font>
    <font>
      <sz val="10"/>
      <color theme="0"/>
      <name val="Arial"/>
      <family val="2"/>
    </font>
    <font>
      <b/>
      <sz val="9"/>
      <name val="Calibri"/>
      <family val="2"/>
      <scheme val="minor"/>
    </font>
    <font>
      <b/>
      <sz val="9"/>
      <color theme="0"/>
      <name val="Calibri"/>
      <family val="2"/>
    </font>
    <font>
      <b/>
      <sz val="9"/>
      <color theme="0"/>
      <name val="Calibri"/>
      <family val="2"/>
      <scheme val="minor"/>
    </font>
    <font>
      <sz val="9"/>
      <color rgb="FF000000"/>
      <name val="Calibri"/>
      <family val="2"/>
    </font>
    <font>
      <sz val="8"/>
      <color rgb="FF000000"/>
      <name val="Arial"/>
      <family val="2"/>
    </font>
    <font>
      <sz val="9"/>
      <name val="Calibri"/>
      <family val="2"/>
    </font>
    <font>
      <b/>
      <sz val="26"/>
      <name val="Calibri"/>
      <family val="2"/>
      <scheme val="minor"/>
    </font>
    <font>
      <b/>
      <sz val="11"/>
      <name val="Calibri"/>
      <family val="2"/>
    </font>
    <font>
      <b/>
      <sz val="11"/>
      <color rgb="FFFFFFFF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</font>
    <font>
      <sz val="9"/>
      <color indexed="81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791F1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DB4E2"/>
      </patternFill>
    </fill>
    <fill>
      <patternFill patternType="solid">
        <fgColor rgb="FFFCD5B4"/>
      </patternFill>
    </fill>
    <fill>
      <patternFill patternType="solid">
        <fgColor rgb="FFFCD5C8"/>
      </patternFill>
    </fill>
    <fill>
      <patternFill patternType="solid">
        <fgColor rgb="FFB7DEE8"/>
      </patternFill>
    </fill>
    <fill>
      <patternFill patternType="solid">
        <fgColor rgb="FFD8E4BC"/>
      </patternFill>
    </fill>
    <fill>
      <patternFill patternType="solid">
        <fgColor rgb="FFB8CCE4"/>
      </patternFill>
    </fill>
    <fill>
      <patternFill patternType="solid">
        <fgColor rgb="FF0084A7"/>
      </patternFill>
    </fill>
    <fill>
      <patternFill patternType="solid">
        <fgColor rgb="FF000000"/>
      </patternFill>
    </fill>
    <fill>
      <patternFill patternType="solid">
        <fgColor rgb="FFBFBFBF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</borders>
  <cellStyleXfs count="19">
    <xf numFmtId="0" fontId="0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0" fontId="14" fillId="0" borderId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1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0" fillId="0" borderId="0"/>
    <xf numFmtId="0" fontId="30" fillId="0" borderId="0"/>
    <xf numFmtId="0" fontId="3" fillId="0" borderId="0"/>
    <xf numFmtId="0" fontId="35" fillId="0" borderId="0"/>
  </cellStyleXfs>
  <cellXfs count="616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5" fillId="0" borderId="7" xfId="0" applyFont="1" applyFill="1" applyBorder="1" applyAlignment="1" applyProtection="1">
      <alignment vertical="center"/>
    </xf>
    <xf numFmtId="0" fontId="0" fillId="0" borderId="7" xfId="0" applyBorder="1" applyAlignment="1" applyProtection="1">
      <alignment vertical="center"/>
      <protection locked="0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5" fillId="0" borderId="10" xfId="0" applyFont="1" applyFill="1" applyBorder="1" applyAlignment="1" applyProtection="1">
      <alignment vertical="center"/>
    </xf>
    <xf numFmtId="0" fontId="7" fillId="0" borderId="10" xfId="0" applyFont="1" applyBorder="1" applyAlignment="1" applyProtection="1">
      <alignment vertical="center"/>
      <protection locked="0"/>
    </xf>
    <xf numFmtId="0" fontId="5" fillId="2" borderId="10" xfId="0" applyFont="1" applyFill="1" applyBorder="1" applyAlignment="1" applyProtection="1">
      <alignment horizontal="center" vertical="center"/>
    </xf>
    <xf numFmtId="165" fontId="8" fillId="0" borderId="0" xfId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1" fontId="8" fillId="0" borderId="0" xfId="0" applyNumberFormat="1" applyFont="1" applyFill="1" applyBorder="1" applyAlignment="1" applyProtection="1">
      <alignment horizontal="center" vertical="center"/>
      <protection locked="0"/>
    </xf>
    <xf numFmtId="9" fontId="8" fillId="0" borderId="0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center"/>
      <protection locked="0"/>
    </xf>
    <xf numFmtId="9" fontId="6" fillId="0" borderId="0" xfId="0" applyNumberFormat="1" applyFont="1" applyFill="1" applyBorder="1" applyAlignment="1" applyProtection="1">
      <alignment horizontal="center" vertical="center"/>
      <protection locked="0"/>
    </xf>
    <xf numFmtId="165" fontId="6" fillId="0" borderId="0" xfId="1" applyFont="1" applyFill="1" applyBorder="1" applyAlignment="1" applyProtection="1">
      <alignment horizontal="center" vertical="center"/>
      <protection locked="0"/>
    </xf>
    <xf numFmtId="0" fontId="0" fillId="0" borderId="19" xfId="0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27" xfId="0" applyBorder="1" applyAlignment="1" applyProtection="1">
      <alignment vertical="center"/>
      <protection locked="0"/>
    </xf>
    <xf numFmtId="0" fontId="0" fillId="0" borderId="28" xfId="0" applyBorder="1" applyAlignment="1" applyProtection="1">
      <alignment vertical="center"/>
      <protection locked="0"/>
    </xf>
    <xf numFmtId="4" fontId="0" fillId="2" borderId="32" xfId="0" applyNumberFormat="1" applyFill="1" applyBorder="1" applyAlignment="1" applyProtection="1">
      <alignment horizontal="center" vertical="center"/>
    </xf>
    <xf numFmtId="0" fontId="0" fillId="0" borderId="35" xfId="0" applyBorder="1" applyAlignment="1" applyProtection="1">
      <alignment vertical="center"/>
      <protection locked="0"/>
    </xf>
    <xf numFmtId="0" fontId="0" fillId="0" borderId="36" xfId="0" applyBorder="1" applyAlignment="1" applyProtection="1">
      <alignment vertical="center"/>
      <protection locked="0"/>
    </xf>
    <xf numFmtId="4" fontId="0" fillId="2" borderId="37" xfId="0" applyNumberFormat="1" applyFill="1" applyBorder="1" applyAlignment="1" applyProtection="1">
      <alignment horizontal="center" vertical="center"/>
    </xf>
    <xf numFmtId="4" fontId="0" fillId="2" borderId="39" xfId="0" applyNumberFormat="1" applyFill="1" applyBorder="1" applyAlignment="1" applyProtection="1">
      <alignment horizontal="center" vertical="center"/>
    </xf>
    <xf numFmtId="4" fontId="0" fillId="2" borderId="40" xfId="0" applyNumberFormat="1" applyFill="1" applyBorder="1" applyAlignment="1" applyProtection="1">
      <alignment horizontal="center" vertical="center"/>
    </xf>
    <xf numFmtId="4" fontId="0" fillId="2" borderId="41" xfId="0" applyNumberForma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vertical="center"/>
      <protection locked="0"/>
    </xf>
    <xf numFmtId="0" fontId="3" fillId="0" borderId="35" xfId="0" applyFont="1" applyBorder="1" applyAlignment="1" applyProtection="1">
      <alignment vertical="center"/>
      <protection locked="0"/>
    </xf>
    <xf numFmtId="0" fontId="3" fillId="0" borderId="36" xfId="0" applyFont="1" applyBorder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5" fillId="0" borderId="42" xfId="0" applyFont="1" applyBorder="1" applyAlignment="1" applyProtection="1">
      <alignment vertical="center"/>
    </xf>
    <xf numFmtId="0" fontId="0" fillId="0" borderId="21" xfId="0" applyBorder="1" applyAlignment="1" applyProtection="1">
      <alignment vertical="center"/>
      <protection locked="0"/>
    </xf>
    <xf numFmtId="0" fontId="3" fillId="0" borderId="21" xfId="0" applyFont="1" applyBorder="1" applyAlignment="1" applyProtection="1">
      <alignment vertical="center"/>
      <protection locked="0"/>
    </xf>
    <xf numFmtId="0" fontId="3" fillId="0" borderId="43" xfId="0" applyFont="1" applyBorder="1" applyAlignment="1" applyProtection="1">
      <alignment vertical="center"/>
      <protection locked="0"/>
    </xf>
    <xf numFmtId="0" fontId="0" fillId="0" borderId="44" xfId="0" applyBorder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</xf>
    <xf numFmtId="14" fontId="9" fillId="0" borderId="47" xfId="0" applyNumberFormat="1" applyFont="1" applyBorder="1" applyAlignment="1" applyProtection="1">
      <alignment horizontal="center" vertical="center" wrapText="1"/>
    </xf>
    <xf numFmtId="0" fontId="9" fillId="0" borderId="47" xfId="0" applyFont="1" applyFill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vertical="center"/>
      <protection locked="0"/>
    </xf>
    <xf numFmtId="0" fontId="9" fillId="0" borderId="48" xfId="0" applyFont="1" applyFill="1" applyBorder="1" applyAlignment="1" applyProtection="1">
      <alignment horizontal="center" vertical="center"/>
    </xf>
    <xf numFmtId="14" fontId="11" fillId="2" borderId="47" xfId="0" applyNumberFormat="1" applyFont="1" applyFill="1" applyBorder="1" applyAlignment="1" applyProtection="1">
      <alignment horizontal="center" vertical="center"/>
    </xf>
    <xf numFmtId="0" fontId="3" fillId="0" borderId="49" xfId="0" applyFont="1" applyBorder="1" applyAlignment="1" applyProtection="1">
      <alignment vertical="center"/>
      <protection locked="0"/>
    </xf>
    <xf numFmtId="3" fontId="11" fillId="5" borderId="47" xfId="0" applyNumberFormat="1" applyFont="1" applyFill="1" applyBorder="1" applyAlignment="1" applyProtection="1">
      <alignment horizontal="center" vertical="center"/>
    </xf>
    <xf numFmtId="0" fontId="0" fillId="0" borderId="51" xfId="0" applyBorder="1" applyAlignment="1" applyProtection="1">
      <alignment vertical="center"/>
      <protection locked="0"/>
    </xf>
    <xf numFmtId="0" fontId="0" fillId="0" borderId="52" xfId="0" applyBorder="1" applyAlignment="1" applyProtection="1">
      <alignment vertical="center"/>
      <protection locked="0"/>
    </xf>
    <xf numFmtId="0" fontId="3" fillId="0" borderId="52" xfId="0" applyFont="1" applyBorder="1" applyAlignment="1" applyProtection="1">
      <alignment vertical="center"/>
      <protection locked="0"/>
    </xf>
    <xf numFmtId="0" fontId="3" fillId="0" borderId="53" xfId="0" applyFont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3" fillId="0" borderId="44" xfId="0" applyFont="1" applyBorder="1" applyAlignment="1" applyProtection="1">
      <alignment vertical="center"/>
      <protection locked="0"/>
    </xf>
    <xf numFmtId="0" fontId="6" fillId="0" borderId="0" xfId="0" applyFont="1" applyBorder="1" applyAlignment="1">
      <alignment horizontal="right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49" xfId="0" applyFill="1" applyBorder="1" applyAlignment="1" applyProtection="1">
      <alignment horizontal="center" vertical="center"/>
      <protection locked="0"/>
    </xf>
    <xf numFmtId="0" fontId="6" fillId="0" borderId="0" xfId="0" applyFont="1" applyBorder="1" applyAlignment="1">
      <alignment horizontal="right" vertical="center" readingOrder="2"/>
    </xf>
    <xf numFmtId="0" fontId="3" fillId="0" borderId="0" xfId="0" applyFont="1" applyBorder="1" applyAlignment="1" applyProtection="1">
      <alignment horizontal="right" vertical="center"/>
      <protection locked="0"/>
    </xf>
    <xf numFmtId="0" fontId="6" fillId="0" borderId="0" xfId="0" applyFont="1" applyBorder="1" applyAlignment="1">
      <alignment horizontal="left" vertical="center" readingOrder="2"/>
    </xf>
    <xf numFmtId="0" fontId="6" fillId="0" borderId="0" xfId="0" applyFont="1" applyBorder="1" applyAlignment="1">
      <alignment horizontal="left" vertical="center" readingOrder="1"/>
    </xf>
    <xf numFmtId="0" fontId="3" fillId="0" borderId="0" xfId="0" applyFont="1" applyFill="1" applyBorder="1" applyAlignment="1" applyProtection="1">
      <alignment vertical="center"/>
      <protection locked="0"/>
    </xf>
    <xf numFmtId="1" fontId="11" fillId="7" borderId="47" xfId="0" applyNumberFormat="1" applyFont="1" applyFill="1" applyBorder="1" applyAlignment="1" applyProtection="1">
      <alignment horizontal="center" vertical="center"/>
      <protection locked="0"/>
    </xf>
    <xf numFmtId="1" fontId="11" fillId="7" borderId="47" xfId="0" applyNumberFormat="1" applyFont="1" applyFill="1" applyBorder="1" applyAlignment="1" applyProtection="1">
      <alignment horizontal="center" vertical="center"/>
    </xf>
    <xf numFmtId="1" fontId="11" fillId="9" borderId="47" xfId="0" applyNumberFormat="1" applyFont="1" applyFill="1" applyBorder="1" applyAlignment="1" applyProtection="1">
      <alignment horizontal="center" vertical="center"/>
      <protection locked="0"/>
    </xf>
    <xf numFmtId="1" fontId="11" fillId="9" borderId="47" xfId="0" applyNumberFormat="1" applyFont="1" applyFill="1" applyBorder="1" applyAlignment="1" applyProtection="1">
      <alignment horizontal="center" vertical="center"/>
    </xf>
    <xf numFmtId="1" fontId="11" fillId="8" borderId="48" xfId="0" applyNumberFormat="1" applyFont="1" applyFill="1" applyBorder="1" applyAlignment="1" applyProtection="1">
      <alignment horizontal="center" vertical="center"/>
    </xf>
    <xf numFmtId="0" fontId="0" fillId="0" borderId="0" xfId="0" applyFont="1" applyFill="1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right" vertical="center"/>
      <protection locked="0"/>
    </xf>
    <xf numFmtId="0" fontId="0" fillId="0" borderId="44" xfId="0" applyFont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3" fillId="0" borderId="58" xfId="0" applyFont="1" applyBorder="1" applyAlignment="1" applyProtection="1">
      <alignment horizontal="right" vertical="center"/>
      <protection locked="0"/>
    </xf>
    <xf numFmtId="0" fontId="3" fillId="0" borderId="58" xfId="0" applyFont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right" vertical="center"/>
      <protection locked="0"/>
    </xf>
    <xf numFmtId="0" fontId="0" fillId="0" borderId="0" xfId="0" applyFont="1" applyFill="1" applyBorder="1" applyAlignment="1" applyProtection="1">
      <alignment horizontal="right" vertical="center"/>
      <protection locked="0"/>
    </xf>
    <xf numFmtId="0" fontId="3" fillId="0" borderId="52" xfId="0" applyFont="1" applyFill="1" applyBorder="1" applyAlignment="1" applyProtection="1">
      <alignment vertical="center"/>
      <protection locked="0"/>
    </xf>
    <xf numFmtId="0" fontId="0" fillId="0" borderId="51" xfId="0" applyFill="1" applyBorder="1" applyAlignment="1" applyProtection="1">
      <alignment vertical="center"/>
      <protection locked="0"/>
    </xf>
    <xf numFmtId="0" fontId="0" fillId="0" borderId="52" xfId="0" applyFill="1" applyBorder="1" applyAlignment="1" applyProtection="1">
      <alignment vertical="center"/>
      <protection locked="0"/>
    </xf>
    <xf numFmtId="0" fontId="3" fillId="0" borderId="52" xfId="0" applyFont="1" applyFill="1" applyBorder="1" applyAlignment="1" applyProtection="1">
      <alignment horizontal="center" vertical="center"/>
      <protection locked="0"/>
    </xf>
    <xf numFmtId="0" fontId="3" fillId="0" borderId="53" xfId="0" applyFont="1" applyFill="1" applyBorder="1" applyAlignment="1" applyProtection="1">
      <alignment horizontal="center" vertical="center"/>
      <protection locked="0"/>
    </xf>
    <xf numFmtId="0" fontId="5" fillId="0" borderId="7" xfId="0" applyFont="1" applyFill="1" applyBorder="1" applyAlignment="1" applyProtection="1">
      <alignment horizontal="center" vertical="center"/>
    </xf>
    <xf numFmtId="0" fontId="12" fillId="6" borderId="64" xfId="0" applyNumberFormat="1" applyFont="1" applyFill="1" applyBorder="1" applyAlignment="1" applyProtection="1">
      <alignment vertical="center" wrapText="1"/>
    </xf>
    <xf numFmtId="0" fontId="15" fillId="4" borderId="10" xfId="0" applyFont="1" applyFill="1" applyBorder="1" applyAlignment="1" applyProtection="1">
      <alignment horizontal="center" vertical="center" wrapText="1"/>
    </xf>
    <xf numFmtId="4" fontId="7" fillId="2" borderId="29" xfId="0" applyNumberFormat="1" applyFont="1" applyFill="1" applyBorder="1" applyAlignment="1" applyProtection="1">
      <alignment horizontal="center" vertical="center"/>
    </xf>
    <xf numFmtId="4" fontId="7" fillId="2" borderId="37" xfId="0" applyNumberFormat="1" applyFont="1" applyFill="1" applyBorder="1" applyAlignment="1" applyProtection="1">
      <alignment horizontal="center" vertical="center"/>
    </xf>
    <xf numFmtId="4" fontId="7" fillId="5" borderId="37" xfId="1" applyNumberFormat="1" applyFont="1" applyFill="1" applyBorder="1" applyAlignment="1" applyProtection="1">
      <alignment horizontal="center" vertical="center"/>
    </xf>
    <xf numFmtId="10" fontId="7" fillId="2" borderId="37" xfId="3" applyNumberFormat="1" applyFont="1" applyFill="1" applyBorder="1" applyAlignment="1" applyProtection="1">
      <alignment horizontal="center" vertical="center"/>
      <protection locked="0"/>
    </xf>
    <xf numFmtId="0" fontId="7" fillId="0" borderId="35" xfId="0" applyFont="1" applyBorder="1" applyAlignment="1" applyProtection="1">
      <alignment vertical="center"/>
      <protection locked="0"/>
    </xf>
    <xf numFmtId="4" fontId="16" fillId="2" borderId="37" xfId="0" applyNumberFormat="1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vertical="center"/>
      <protection locked="0"/>
    </xf>
    <xf numFmtId="0" fontId="18" fillId="6" borderId="13" xfId="0" applyNumberFormat="1" applyFont="1" applyFill="1" applyBorder="1" applyAlignment="1" applyProtection="1">
      <alignment vertical="center" wrapText="1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11" fillId="0" borderId="49" xfId="0" applyFont="1" applyFill="1" applyBorder="1" applyAlignment="1" applyProtection="1">
      <alignment horizontal="center" vertical="center"/>
      <protection locked="0"/>
    </xf>
    <xf numFmtId="4" fontId="7" fillId="2" borderId="32" xfId="0" applyNumberFormat="1" applyFont="1" applyFill="1" applyBorder="1" applyAlignment="1" applyProtection="1">
      <alignment horizontal="center" vertical="center"/>
    </xf>
    <xf numFmtId="4" fontId="7" fillId="2" borderId="40" xfId="0" applyNumberFormat="1" applyFont="1" applyFill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vertical="top"/>
      <protection locked="0"/>
    </xf>
    <xf numFmtId="10" fontId="7" fillId="5" borderId="37" xfId="3" applyNumberFormat="1" applyFont="1" applyFill="1" applyBorder="1" applyAlignment="1" applyProtection="1">
      <alignment horizontal="center" vertical="center"/>
    </xf>
    <xf numFmtId="0" fontId="0" fillId="0" borderId="54" xfId="0" applyBorder="1" applyAlignment="1" applyProtection="1">
      <alignment vertical="center"/>
      <protection locked="0"/>
    </xf>
    <xf numFmtId="0" fontId="0" fillId="0" borderId="57" xfId="0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vertical="center"/>
      <protection locked="0"/>
    </xf>
    <xf numFmtId="0" fontId="0" fillId="0" borderId="44" xfId="0" applyFont="1" applyFill="1" applyBorder="1" applyAlignment="1" applyProtection="1">
      <alignment horizontal="right" vertical="center"/>
    </xf>
    <xf numFmtId="0" fontId="0" fillId="0" borderId="0" xfId="0" applyFont="1" applyFill="1" applyBorder="1" applyAlignment="1" applyProtection="1">
      <alignment horizontal="right" vertical="center"/>
    </xf>
    <xf numFmtId="0" fontId="7" fillId="0" borderId="26" xfId="0" applyFont="1" applyBorder="1" applyAlignment="1" applyProtection="1">
      <alignment vertical="center"/>
    </xf>
    <xf numFmtId="0" fontId="7" fillId="0" borderId="34" xfId="0" applyFont="1" applyBorder="1" applyAlignment="1" applyProtection="1">
      <alignment vertical="center"/>
    </xf>
    <xf numFmtId="0" fontId="5" fillId="0" borderId="34" xfId="0" applyFont="1" applyBorder="1" applyAlignment="1" applyProtection="1">
      <alignment vertical="center"/>
    </xf>
    <xf numFmtId="0" fontId="7" fillId="0" borderId="34" xfId="0" applyFont="1" applyBorder="1" applyAlignment="1" applyProtection="1">
      <alignment horizontal="left" vertical="center"/>
    </xf>
    <xf numFmtId="0" fontId="7" fillId="0" borderId="27" xfId="0" applyFont="1" applyBorder="1" applyAlignment="1" applyProtection="1">
      <alignment vertical="center"/>
      <protection locked="0"/>
    </xf>
    <xf numFmtId="164" fontId="11" fillId="7" borderId="47" xfId="2" applyFont="1" applyFill="1" applyBorder="1" applyAlignment="1" applyProtection="1">
      <alignment horizontal="center" vertical="center"/>
    </xf>
    <xf numFmtId="4" fontId="5" fillId="6" borderId="10" xfId="1" applyNumberFormat="1" applyFont="1" applyFill="1" applyBorder="1" applyAlignment="1" applyProtection="1">
      <alignment horizontal="center" vertical="center" wrapText="1"/>
    </xf>
    <xf numFmtId="0" fontId="17" fillId="6" borderId="10" xfId="0" applyNumberFormat="1" applyFont="1" applyFill="1" applyBorder="1" applyAlignment="1" applyProtection="1">
      <alignment horizontal="center" vertical="center" wrapText="1"/>
    </xf>
    <xf numFmtId="10" fontId="11" fillId="7" borderId="47" xfId="3" applyNumberFormat="1" applyFont="1" applyFill="1" applyBorder="1" applyAlignment="1" applyProtection="1">
      <alignment horizontal="center" vertical="center"/>
    </xf>
    <xf numFmtId="166" fontId="11" fillId="7" borderId="47" xfId="3" applyNumberFormat="1" applyFont="1" applyFill="1" applyBorder="1" applyAlignment="1" applyProtection="1">
      <alignment horizontal="center" vertical="center"/>
    </xf>
    <xf numFmtId="0" fontId="7" fillId="2" borderId="61" xfId="0" applyFont="1" applyFill="1" applyBorder="1" applyAlignment="1" applyProtection="1">
      <alignment vertical="top"/>
      <protection locked="0"/>
    </xf>
    <xf numFmtId="0" fontId="7" fillId="2" borderId="27" xfId="0" applyFont="1" applyFill="1" applyBorder="1" applyAlignment="1" applyProtection="1">
      <alignment vertical="top"/>
      <protection locked="0"/>
    </xf>
    <xf numFmtId="0" fontId="7" fillId="2" borderId="62" xfId="0" applyFont="1" applyFill="1" applyBorder="1" applyAlignment="1" applyProtection="1">
      <alignment vertical="top"/>
      <protection locked="0"/>
    </xf>
    <xf numFmtId="0" fontId="7" fillId="10" borderId="0" xfId="0" applyFont="1" applyFill="1" applyBorder="1" applyAlignment="1" applyProtection="1">
      <alignment vertical="top" wrapText="1"/>
      <protection locked="0"/>
    </xf>
    <xf numFmtId="0" fontId="7" fillId="10" borderId="27" xfId="0" applyFont="1" applyFill="1" applyBorder="1" applyAlignment="1" applyProtection="1">
      <alignment vertical="top" wrapText="1"/>
      <protection locked="0"/>
    </xf>
    <xf numFmtId="0" fontId="7" fillId="10" borderId="62" xfId="0" applyFont="1" applyFill="1" applyBorder="1" applyAlignment="1" applyProtection="1">
      <alignment vertical="top" wrapText="1"/>
      <protection locked="0"/>
    </xf>
    <xf numFmtId="4" fontId="7" fillId="2" borderId="37" xfId="0" quotePrefix="1" applyNumberFormat="1" applyFont="1" applyFill="1" applyBorder="1" applyAlignment="1" applyProtection="1">
      <alignment horizontal="center" vertical="center"/>
    </xf>
    <xf numFmtId="4" fontId="7" fillId="2" borderId="40" xfId="0" quotePrefix="1" applyNumberFormat="1" applyFont="1" applyFill="1" applyBorder="1" applyAlignment="1" applyProtection="1">
      <alignment horizontal="center" vertical="center"/>
    </xf>
    <xf numFmtId="4" fontId="7" fillId="2" borderId="70" xfId="0" applyNumberFormat="1" applyFont="1" applyFill="1" applyBorder="1" applyAlignment="1" applyProtection="1">
      <alignment horizontal="center" vertical="center" wrapText="1"/>
    </xf>
    <xf numFmtId="4" fontId="0" fillId="5" borderId="39" xfId="1" applyNumberFormat="1" applyFont="1" applyFill="1" applyBorder="1" applyAlignment="1" applyProtection="1">
      <alignment horizontal="center" vertical="center"/>
    </xf>
    <xf numFmtId="10" fontId="0" fillId="5" borderId="39" xfId="3" applyNumberFormat="1" applyFont="1" applyFill="1" applyBorder="1" applyAlignment="1" applyProtection="1">
      <alignment horizontal="center" vertical="center"/>
    </xf>
    <xf numFmtId="4" fontId="7" fillId="2" borderId="37" xfId="0" applyNumberFormat="1" applyFont="1" applyFill="1" applyBorder="1" applyAlignment="1" applyProtection="1">
      <alignment horizontal="center" vertical="center" wrapText="1"/>
    </xf>
    <xf numFmtId="10" fontId="0" fillId="2" borderId="37" xfId="3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15" fillId="0" borderId="7" xfId="0" applyFont="1" applyFill="1" applyBorder="1" applyAlignment="1" applyProtection="1">
      <alignment horizontal="center" vertical="center" wrapText="1"/>
    </xf>
    <xf numFmtId="0" fontId="9" fillId="2" borderId="8" xfId="0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Border="1" applyAlignment="1" applyProtection="1">
      <alignment horizontal="right" vertical="center"/>
      <protection locked="0"/>
    </xf>
    <xf numFmtId="10" fontId="7" fillId="2" borderId="37" xfId="3" quotePrefix="1" applyNumberFormat="1" applyFont="1" applyFill="1" applyBorder="1" applyAlignment="1" applyProtection="1">
      <alignment horizontal="center" vertical="center"/>
      <protection locked="0"/>
    </xf>
    <xf numFmtId="0" fontId="15" fillId="4" borderId="10" xfId="0" quotePrefix="1" applyFont="1" applyFill="1" applyBorder="1" applyAlignment="1" applyProtection="1">
      <alignment horizontal="center" vertical="center" wrapText="1"/>
    </xf>
    <xf numFmtId="0" fontId="9" fillId="4" borderId="10" xfId="0" quotePrefix="1" applyFont="1" applyFill="1" applyBorder="1" applyAlignment="1" applyProtection="1">
      <alignment horizontal="center" vertical="center" wrapText="1"/>
    </xf>
    <xf numFmtId="0" fontId="9" fillId="4" borderId="11" xfId="0" quotePrefix="1" applyFont="1" applyFill="1" applyBorder="1" applyAlignment="1" applyProtection="1">
      <alignment horizontal="center" vertical="center" wrapText="1"/>
    </xf>
    <xf numFmtId="10" fontId="0" fillId="2" borderId="39" xfId="3" quotePrefix="1" applyNumberFormat="1" applyFont="1" applyFill="1" applyBorder="1" applyAlignment="1" applyProtection="1">
      <alignment horizontal="center" vertical="center"/>
      <protection locked="0"/>
    </xf>
    <xf numFmtId="0" fontId="5" fillId="0" borderId="72" xfId="0" applyFont="1" applyFill="1" applyBorder="1" applyAlignment="1" applyProtection="1">
      <alignment horizontal="left" vertical="center"/>
    </xf>
    <xf numFmtId="0" fontId="7" fillId="0" borderId="73" xfId="0" applyFont="1" applyBorder="1" applyAlignment="1" applyProtection="1">
      <alignment vertical="center"/>
      <protection locked="0"/>
    </xf>
    <xf numFmtId="0" fontId="3" fillId="0" borderId="73" xfId="0" applyFont="1" applyBorder="1" applyAlignment="1" applyProtection="1">
      <alignment vertical="center"/>
      <protection locked="0"/>
    </xf>
    <xf numFmtId="0" fontId="3" fillId="0" borderId="74" xfId="0" applyFont="1" applyBorder="1" applyAlignment="1" applyProtection="1">
      <alignment vertical="center"/>
      <protection locked="0"/>
    </xf>
    <xf numFmtId="10" fontId="5" fillId="2" borderId="75" xfId="3" applyNumberFormat="1" applyFont="1" applyFill="1" applyBorder="1" applyAlignment="1" applyProtection="1">
      <alignment horizontal="center" vertical="center"/>
    </xf>
    <xf numFmtId="10" fontId="0" fillId="2" borderId="77" xfId="3" applyNumberFormat="1" applyFont="1" applyFill="1" applyBorder="1" applyAlignment="1" applyProtection="1">
      <alignment horizontal="center" vertical="center"/>
    </xf>
    <xf numFmtId="4" fontId="0" fillId="2" borderId="33" xfId="0" applyNumberFormat="1" applyFill="1" applyBorder="1" applyAlignment="1" applyProtection="1">
      <alignment horizontal="center" vertical="center" wrapText="1"/>
    </xf>
    <xf numFmtId="0" fontId="15" fillId="0" borderId="13" xfId="0" applyFont="1" applyFill="1" applyBorder="1" applyAlignment="1" applyProtection="1">
      <alignment horizontal="center" vertical="center"/>
    </xf>
    <xf numFmtId="0" fontId="15" fillId="0" borderId="10" xfId="0" applyFont="1" applyFill="1" applyBorder="1" applyAlignment="1" applyProtection="1">
      <alignment horizontal="center" vertical="center" wrapText="1"/>
    </xf>
    <xf numFmtId="14" fontId="29" fillId="2" borderId="47" xfId="0" applyNumberFormat="1" applyFont="1" applyFill="1" applyBorder="1" applyAlignment="1" applyProtection="1">
      <alignment horizontal="center" vertical="center"/>
    </xf>
    <xf numFmtId="4" fontId="0" fillId="0" borderId="0" xfId="0" applyNumberFormat="1" applyAlignment="1" applyProtection="1">
      <alignment horizontal="center" vertical="center"/>
      <protection locked="0"/>
    </xf>
    <xf numFmtId="4" fontId="0" fillId="0" borderId="0" xfId="0" applyNumberFormat="1"/>
    <xf numFmtId="0" fontId="0" fillId="0" borderId="1" xfId="0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3" fillId="0" borderId="49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5" fillId="0" borderId="42" xfId="0" applyFont="1" applyFill="1" applyBorder="1" applyAlignment="1" applyProtection="1">
      <alignment vertical="center"/>
      <protection locked="0"/>
    </xf>
    <xf numFmtId="0" fontId="5" fillId="0" borderId="21" xfId="0" applyFont="1" applyFill="1" applyBorder="1" applyAlignment="1" applyProtection="1">
      <alignment vertical="center"/>
      <protection locked="0"/>
    </xf>
    <xf numFmtId="0" fontId="5" fillId="0" borderId="43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vertical="center"/>
      <protection locked="0"/>
    </xf>
    <xf numFmtId="0" fontId="5" fillId="0" borderId="44" xfId="0" applyFont="1" applyFill="1" applyBorder="1" applyAlignment="1" applyProtection="1">
      <alignment vertical="center"/>
      <protection locked="0"/>
    </xf>
    <xf numFmtId="0" fontId="5" fillId="0" borderId="49" xfId="0" applyFont="1" applyFill="1" applyBorder="1" applyAlignment="1" applyProtection="1">
      <alignment vertical="center"/>
      <protection locked="0"/>
    </xf>
    <xf numFmtId="0" fontId="7" fillId="0" borderId="0" xfId="0" applyFont="1" applyFill="1" applyBorder="1" applyAlignment="1" applyProtection="1">
      <alignment horizontal="left" vertical="center" wrapText="1"/>
      <protection locked="0"/>
    </xf>
    <xf numFmtId="0" fontId="0" fillId="0" borderId="0" xfId="0" applyFont="1" applyFill="1" applyBorder="1" applyAlignment="1" applyProtection="1">
      <alignment horizontal="left" vertical="center" wrapText="1"/>
      <protection locked="0"/>
    </xf>
    <xf numFmtId="0" fontId="31" fillId="12" borderId="80" xfId="0" applyFont="1" applyFill="1" applyBorder="1" applyAlignment="1">
      <alignment horizontal="center" vertical="center" wrapText="1" readingOrder="1"/>
    </xf>
    <xf numFmtId="0" fontId="32" fillId="12" borderId="80" xfId="0" applyFont="1" applyFill="1" applyBorder="1" applyAlignment="1">
      <alignment horizontal="center" vertical="center" wrapText="1" readingOrder="1"/>
    </xf>
    <xf numFmtId="14" fontId="10" fillId="13" borderId="80" xfId="0" applyNumberFormat="1" applyFont="1" applyFill="1" applyBorder="1" applyAlignment="1">
      <alignment horizontal="center" vertical="center" readingOrder="1"/>
    </xf>
    <xf numFmtId="0" fontId="10" fillId="13" borderId="80" xfId="0" applyFont="1" applyFill="1" applyBorder="1" applyAlignment="1">
      <alignment horizontal="center" vertical="center" readingOrder="1"/>
    </xf>
    <xf numFmtId="1" fontId="11" fillId="0" borderId="0" xfId="0" applyNumberFormat="1" applyFont="1" applyFill="1" applyBorder="1" applyAlignment="1" applyProtection="1">
      <alignment horizontal="center" vertical="center"/>
      <protection locked="0"/>
    </xf>
    <xf numFmtId="0" fontId="9" fillId="0" borderId="49" xfId="0" applyFont="1" applyFill="1" applyBorder="1" applyAlignment="1" applyProtection="1">
      <alignment horizontal="center" vertical="center"/>
    </xf>
    <xf numFmtId="1" fontId="11" fillId="0" borderId="49" xfId="0" applyNumberFormat="1" applyFont="1" applyFill="1" applyBorder="1" applyAlignment="1" applyProtection="1">
      <alignment horizontal="center" vertical="center"/>
    </xf>
    <xf numFmtId="0" fontId="5" fillId="0" borderId="83" xfId="0" applyFont="1" applyFill="1" applyBorder="1" applyAlignment="1" applyProtection="1">
      <alignment horizontal="center" vertical="center"/>
    </xf>
    <xf numFmtId="0" fontId="0" fillId="0" borderId="0" xfId="0" applyFont="1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</xf>
    <xf numFmtId="0" fontId="5" fillId="0" borderId="81" xfId="0" applyFont="1" applyFill="1" applyBorder="1" applyAlignment="1" applyProtection="1">
      <alignment horizontal="center" vertical="center"/>
    </xf>
    <xf numFmtId="0" fontId="0" fillId="0" borderId="0" xfId="0" applyAlignment="1" applyProtection="1">
      <protection locked="0"/>
    </xf>
    <xf numFmtId="0" fontId="0" fillId="0" borderId="44" xfId="0" applyBorder="1" applyAlignment="1" applyProtection="1">
      <protection locked="0"/>
    </xf>
    <xf numFmtId="0" fontId="9" fillId="0" borderId="49" xfId="0" applyFont="1" applyFill="1" applyBorder="1" applyAlignment="1" applyProtection="1">
      <alignment horizontal="center"/>
    </xf>
    <xf numFmtId="0" fontId="5" fillId="0" borderId="44" xfId="0" applyFont="1" applyBorder="1" applyAlignment="1" applyProtection="1">
      <alignment vertical="center"/>
    </xf>
    <xf numFmtId="0" fontId="5" fillId="0" borderId="15" xfId="0" applyFont="1" applyBorder="1" applyAlignment="1" applyProtection="1">
      <alignment horizontal="centerContinuous" vertical="center"/>
    </xf>
    <xf numFmtId="0" fontId="0" fillId="0" borderId="16" xfId="0" applyFill="1" applyBorder="1" applyAlignment="1" applyProtection="1">
      <alignment horizontal="centerContinuous" vertical="center"/>
      <protection locked="0"/>
    </xf>
    <xf numFmtId="0" fontId="3" fillId="0" borderId="16" xfId="0" applyFont="1" applyFill="1" applyBorder="1" applyAlignment="1" applyProtection="1">
      <alignment horizontal="centerContinuous" vertical="center"/>
      <protection locked="0"/>
    </xf>
    <xf numFmtId="0" fontId="3" fillId="0" borderId="17" xfId="0" applyFont="1" applyFill="1" applyBorder="1" applyAlignment="1" applyProtection="1">
      <alignment horizontal="centerContinuous" vertical="center"/>
      <protection locked="0"/>
    </xf>
    <xf numFmtId="0" fontId="18" fillId="14" borderId="10" xfId="0" applyFont="1" applyFill="1" applyBorder="1" applyAlignment="1" applyProtection="1">
      <alignment horizontal="center" vertical="center" wrapText="1"/>
    </xf>
    <xf numFmtId="0" fontId="18" fillId="14" borderId="13" xfId="0" applyFont="1" applyFill="1" applyBorder="1" applyAlignment="1" applyProtection="1">
      <alignment horizontal="center" vertical="center" wrapText="1"/>
    </xf>
    <xf numFmtId="0" fontId="17" fillId="14" borderId="10" xfId="0" applyNumberFormat="1" applyFont="1" applyFill="1" applyBorder="1" applyAlignment="1" applyProtection="1">
      <alignment horizontal="center" vertical="center" wrapText="1"/>
    </xf>
    <xf numFmtId="0" fontId="12" fillId="14" borderId="64" xfId="0" applyNumberFormat="1" applyFont="1" applyFill="1" applyBorder="1" applyAlignment="1" applyProtection="1">
      <alignment vertical="center" wrapText="1"/>
    </xf>
    <xf numFmtId="4" fontId="5" fillId="14" borderId="10" xfId="1" applyNumberFormat="1" applyFont="1" applyFill="1" applyBorder="1" applyAlignment="1" applyProtection="1">
      <alignment horizontal="center" vertical="center" wrapText="1"/>
    </xf>
    <xf numFmtId="0" fontId="18" fillId="14" borderId="13" xfId="0" quotePrefix="1" applyNumberFormat="1" applyFont="1" applyFill="1" applyBorder="1" applyAlignment="1" applyProtection="1">
      <alignment horizontal="center" vertical="center" wrapText="1"/>
    </xf>
    <xf numFmtId="0" fontId="9" fillId="13" borderId="70" xfId="0" applyFont="1" applyFill="1" applyBorder="1" applyAlignment="1" applyProtection="1">
      <alignment horizontal="center" vertical="center" wrapText="1"/>
    </xf>
    <xf numFmtId="0" fontId="9" fillId="13" borderId="40" xfId="0" applyFont="1" applyFill="1" applyBorder="1" applyAlignment="1" applyProtection="1">
      <alignment horizontal="center" vertical="center" wrapText="1"/>
    </xf>
    <xf numFmtId="4" fontId="16" fillId="11" borderId="75" xfId="0" applyNumberFormat="1" applyFont="1" applyFill="1" applyBorder="1" applyAlignment="1" applyProtection="1">
      <alignment vertical="center"/>
    </xf>
    <xf numFmtId="0" fontId="9" fillId="13" borderId="67" xfId="0" applyFont="1" applyFill="1" applyBorder="1" applyAlignment="1" applyProtection="1">
      <alignment horizontal="center" vertical="center" wrapText="1"/>
    </xf>
    <xf numFmtId="0" fontId="9" fillId="13" borderId="69" xfId="0" applyFont="1" applyFill="1" applyBorder="1" applyAlignment="1" applyProtection="1">
      <alignment horizontal="center" vertical="center" wrapText="1"/>
    </xf>
    <xf numFmtId="0" fontId="9" fillId="13" borderId="84" xfId="0" applyFont="1" applyFill="1" applyBorder="1" applyAlignment="1" applyProtection="1">
      <alignment horizontal="center" vertical="center" wrapText="1"/>
    </xf>
    <xf numFmtId="0" fontId="9" fillId="13" borderId="28" xfId="0" applyFont="1" applyFill="1" applyBorder="1" applyAlignment="1" applyProtection="1">
      <alignment horizontal="center" vertical="center" wrapText="1"/>
    </xf>
    <xf numFmtId="164" fontId="15" fillId="0" borderId="76" xfId="2" applyFont="1" applyFill="1" applyBorder="1" applyAlignment="1" applyProtection="1">
      <alignment horizontal="center" vertical="center"/>
    </xf>
    <xf numFmtId="10" fontId="15" fillId="0" borderId="74" xfId="3" applyNumberFormat="1" applyFont="1" applyFill="1" applyBorder="1" applyAlignment="1" applyProtection="1">
      <alignment horizontal="center" vertical="center"/>
    </xf>
    <xf numFmtId="0" fontId="33" fillId="13" borderId="84" xfId="0" applyFont="1" applyFill="1" applyBorder="1" applyAlignment="1" applyProtection="1">
      <alignment horizontal="center" vertical="center"/>
    </xf>
    <xf numFmtId="0" fontId="15" fillId="0" borderId="7" xfId="0" applyFont="1" applyFill="1" applyBorder="1" applyAlignment="1" applyProtection="1">
      <alignment horizontal="center" vertical="center" wrapText="1"/>
    </xf>
    <xf numFmtId="0" fontId="18" fillId="0" borderId="9" xfId="0" applyFont="1" applyFill="1" applyBorder="1" applyAlignment="1" applyProtection="1">
      <alignment horizontal="center" vertical="center" wrapText="1"/>
    </xf>
    <xf numFmtId="0" fontId="15" fillId="0" borderId="23" xfId="0" applyFont="1" applyFill="1" applyBorder="1" applyAlignment="1" applyProtection="1">
      <alignment horizontal="center" vertical="center" wrapText="1"/>
    </xf>
    <xf numFmtId="0" fontId="18" fillId="0" borderId="23" xfId="0" applyFont="1" applyFill="1" applyBorder="1" applyAlignment="1" applyProtection="1">
      <alignment horizontal="center" vertical="center" wrapText="1"/>
    </xf>
    <xf numFmtId="0" fontId="9" fillId="13" borderId="91" xfId="0" applyFont="1" applyFill="1" applyBorder="1" applyAlignment="1" applyProtection="1">
      <alignment horizontal="center" vertical="center" wrapText="1"/>
    </xf>
    <xf numFmtId="0" fontId="9" fillId="13" borderId="92" xfId="0" applyFont="1" applyFill="1" applyBorder="1" applyAlignment="1" applyProtection="1">
      <alignment horizontal="center" vertical="center" wrapText="1"/>
    </xf>
    <xf numFmtId="164" fontId="15" fillId="0" borderId="93" xfId="2" applyFont="1" applyFill="1" applyBorder="1" applyAlignment="1" applyProtection="1">
      <alignment horizontal="center" vertical="center"/>
    </xf>
    <xf numFmtId="0" fontId="12" fillId="0" borderId="90" xfId="0" applyNumberFormat="1" applyFont="1" applyFill="1" applyBorder="1" applyAlignment="1" applyProtection="1">
      <alignment horizontal="center" vertical="center"/>
    </xf>
    <xf numFmtId="0" fontId="9" fillId="0" borderId="13" xfId="0" applyFont="1" applyFill="1" applyBorder="1" applyAlignment="1" applyProtection="1">
      <alignment horizontal="center" vertical="center"/>
    </xf>
    <xf numFmtId="0" fontId="12" fillId="0" borderId="12" xfId="0" applyFont="1" applyFill="1" applyBorder="1" applyAlignment="1" applyProtection="1">
      <alignment horizontal="center" vertical="center"/>
    </xf>
    <xf numFmtId="4" fontId="5" fillId="14" borderId="11" xfId="1" applyNumberFormat="1" applyFont="1" applyFill="1" applyBorder="1" applyAlignment="1" applyProtection="1">
      <alignment horizontal="center" vertical="center" wrapText="1"/>
    </xf>
    <xf numFmtId="0" fontId="18" fillId="14" borderId="14" xfId="0" applyNumberFormat="1" applyFont="1" applyFill="1" applyBorder="1" applyAlignment="1" applyProtection="1">
      <alignment vertical="center" wrapText="1"/>
    </xf>
    <xf numFmtId="0" fontId="5" fillId="0" borderId="7" xfId="0" applyNumberFormat="1" applyFont="1" applyFill="1" applyBorder="1" applyAlignment="1" applyProtection="1">
      <alignment horizontal="center" vertical="center"/>
    </xf>
    <xf numFmtId="168" fontId="4" fillId="11" borderId="8" xfId="2" applyNumberFormat="1" applyFont="1" applyFill="1" applyBorder="1" applyAlignment="1" applyProtection="1">
      <alignment horizontal="center" vertical="center" wrapText="1"/>
    </xf>
    <xf numFmtId="165" fontId="15" fillId="11" borderId="6" xfId="1" applyFont="1" applyFill="1" applyBorder="1" applyAlignment="1" applyProtection="1">
      <alignment horizontal="center" vertical="center" wrapText="1"/>
    </xf>
    <xf numFmtId="0" fontId="5" fillId="0" borderId="81" xfId="0" applyFont="1" applyFill="1" applyBorder="1" applyAlignment="1" applyProtection="1">
      <alignment horizontal="center" vertical="center"/>
    </xf>
    <xf numFmtId="4" fontId="7" fillId="11" borderId="48" xfId="0" applyNumberFormat="1" applyFont="1" applyFill="1" applyBorder="1" applyAlignment="1" applyProtection="1">
      <alignment horizontal="left" vertical="center"/>
    </xf>
    <xf numFmtId="0" fontId="31" fillId="12" borderId="80" xfId="0" applyFont="1" applyFill="1" applyBorder="1" applyAlignment="1">
      <alignment horizontal="center" vertical="center" wrapText="1" readingOrder="1"/>
    </xf>
    <xf numFmtId="0" fontId="34" fillId="0" borderId="0" xfId="0" applyFont="1" applyAlignment="1" applyProtection="1">
      <alignment vertical="center"/>
      <protection locked="0"/>
    </xf>
    <xf numFmtId="0" fontId="5" fillId="13" borderId="10" xfId="0" applyFont="1" applyFill="1" applyBorder="1" applyAlignment="1" applyProtection="1">
      <alignment horizontal="center" vertical="center" wrapText="1"/>
    </xf>
    <xf numFmtId="0" fontId="5" fillId="13" borderId="10" xfId="0" quotePrefix="1" applyFont="1" applyFill="1" applyBorder="1" applyAlignment="1" applyProtection="1">
      <alignment horizontal="center" vertical="center" wrapText="1"/>
    </xf>
    <xf numFmtId="0" fontId="5" fillId="13" borderId="23" xfId="0" quotePrefix="1" applyFont="1" applyFill="1" applyBorder="1" applyAlignment="1" applyProtection="1">
      <alignment horizontal="center" vertical="center" wrapText="1"/>
    </xf>
    <xf numFmtId="0" fontId="5" fillId="13" borderId="11" xfId="0" quotePrefix="1" applyFont="1" applyFill="1" applyBorder="1" applyAlignment="1" applyProtection="1">
      <alignment horizontal="center" vertical="center" wrapText="1"/>
    </xf>
    <xf numFmtId="0" fontId="5" fillId="0" borderId="97" xfId="0" applyFont="1" applyFill="1" applyBorder="1" applyAlignment="1" applyProtection="1">
      <alignment horizontal="center" vertical="center"/>
    </xf>
    <xf numFmtId="0" fontId="5" fillId="0" borderId="98" xfId="0" applyFont="1" applyFill="1" applyBorder="1" applyAlignment="1" applyProtection="1">
      <alignment horizontal="center" vertical="center"/>
    </xf>
    <xf numFmtId="9" fontId="15" fillId="0" borderId="74" xfId="3" applyFont="1" applyFill="1" applyBorder="1" applyAlignment="1" applyProtection="1">
      <alignment horizontal="center" vertical="center"/>
    </xf>
    <xf numFmtId="0" fontId="36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37" fillId="0" borderId="0" xfId="0" applyFont="1"/>
    <xf numFmtId="0" fontId="38" fillId="15" borderId="23" xfId="0" applyFont="1" applyFill="1" applyBorder="1"/>
    <xf numFmtId="0" fontId="38" fillId="15" borderId="24" xfId="0" applyFont="1" applyFill="1" applyBorder="1"/>
    <xf numFmtId="0" fontId="38" fillId="15" borderId="24" xfId="0" applyFont="1" applyFill="1" applyBorder="1" applyAlignment="1">
      <alignment horizontal="center"/>
    </xf>
    <xf numFmtId="0" fontId="3" fillId="15" borderId="24" xfId="0" applyFont="1" applyFill="1" applyBorder="1"/>
    <xf numFmtId="0" fontId="38" fillId="15" borderId="25" xfId="0" applyFont="1" applyFill="1" applyBorder="1"/>
    <xf numFmtId="0" fontId="9" fillId="0" borderId="0" xfId="0" applyFont="1"/>
    <xf numFmtId="0" fontId="39" fillId="0" borderId="21" xfId="0" applyFont="1" applyBorder="1"/>
    <xf numFmtId="14" fontId="9" fillId="0" borderId="21" xfId="0" applyNumberFormat="1" applyFont="1" applyBorder="1" applyAlignment="1">
      <alignment horizontal="right"/>
    </xf>
    <xf numFmtId="0" fontId="39" fillId="0" borderId="43" xfId="0" applyFont="1" applyBorder="1"/>
    <xf numFmtId="0" fontId="9" fillId="0" borderId="42" xfId="0" applyFont="1" applyBorder="1" applyAlignment="1">
      <alignment horizontal="right"/>
    </xf>
    <xf numFmtId="0" fontId="39" fillId="0" borderId="0" xfId="0" applyFont="1"/>
    <xf numFmtId="14" fontId="9" fillId="0" borderId="0" xfId="0" applyNumberFormat="1" applyFont="1" applyAlignment="1">
      <alignment horizontal="right"/>
    </xf>
    <xf numFmtId="0" fontId="3" fillId="17" borderId="0" xfId="0" applyFont="1" applyFill="1" applyAlignment="1" applyProtection="1">
      <alignment horizontal="left"/>
      <protection locked="0"/>
    </xf>
    <xf numFmtId="0" fontId="39" fillId="0" borderId="49" xfId="0" applyFont="1" applyBorder="1"/>
    <xf numFmtId="14" fontId="39" fillId="0" borderId="0" xfId="0" applyNumberFormat="1" applyFont="1" applyAlignment="1">
      <alignment horizontal="left"/>
    </xf>
    <xf numFmtId="0" fontId="9" fillId="0" borderId="0" xfId="0" applyFont="1" applyAlignment="1">
      <alignment horizontal="right"/>
    </xf>
    <xf numFmtId="14" fontId="3" fillId="17" borderId="0" xfId="0" applyNumberFormat="1" applyFont="1" applyFill="1" applyAlignment="1" applyProtection="1">
      <alignment horizontal="left"/>
      <protection locked="0"/>
    </xf>
    <xf numFmtId="0" fontId="3" fillId="0" borderId="49" xfId="0" applyFont="1" applyBorder="1"/>
    <xf numFmtId="14" fontId="39" fillId="0" borderId="52" xfId="0" applyNumberFormat="1" applyFont="1" applyBorder="1" applyAlignment="1">
      <alignment horizontal="left"/>
    </xf>
    <xf numFmtId="0" fontId="3" fillId="0" borderId="52" xfId="0" applyFont="1" applyBorder="1"/>
    <xf numFmtId="0" fontId="9" fillId="0" borderId="52" xfId="0" applyFont="1" applyBorder="1" applyAlignment="1">
      <alignment horizontal="right"/>
    </xf>
    <xf numFmtId="14" fontId="3" fillId="17" borderId="52" xfId="0" applyNumberFormat="1" applyFont="1" applyFill="1" applyBorder="1" applyAlignment="1" applyProtection="1">
      <alignment horizontal="left"/>
      <protection locked="0"/>
    </xf>
    <xf numFmtId="0" fontId="3" fillId="0" borderId="53" xfId="0" applyFont="1" applyBorder="1"/>
    <xf numFmtId="0" fontId="9" fillId="0" borderId="42" xfId="0" applyFont="1" applyBorder="1"/>
    <xf numFmtId="0" fontId="3" fillId="0" borderId="21" xfId="0" applyFont="1" applyBorder="1"/>
    <xf numFmtId="0" fontId="3" fillId="0" borderId="43" xfId="0" applyFont="1" applyBorder="1"/>
    <xf numFmtId="0" fontId="3" fillId="0" borderId="42" xfId="0" applyFont="1" applyBorder="1"/>
    <xf numFmtId="0" fontId="9" fillId="0" borderId="44" xfId="0" applyFont="1" applyBorder="1"/>
    <xf numFmtId="0" fontId="3" fillId="0" borderId="44" xfId="0" applyFont="1" applyBorder="1"/>
    <xf numFmtId="0" fontId="3" fillId="17" borderId="0" xfId="0" applyFont="1" applyFill="1" applyProtection="1">
      <protection locked="0"/>
    </xf>
    <xf numFmtId="0" fontId="3" fillId="0" borderId="0" xfId="0" applyFont="1" applyAlignment="1">
      <alignment horizontal="right"/>
    </xf>
    <xf numFmtId="14" fontId="9" fillId="0" borderId="0" xfId="0" applyNumberFormat="1" applyFont="1"/>
    <xf numFmtId="0" fontId="9" fillId="0" borderId="0" xfId="0" quotePrefix="1" applyFont="1"/>
    <xf numFmtId="0" fontId="9" fillId="0" borderId="49" xfId="0" quotePrefix="1" applyFont="1" applyBorder="1"/>
    <xf numFmtId="0" fontId="3" fillId="0" borderId="49" xfId="0" applyFont="1" applyBorder="1" applyAlignment="1">
      <alignment horizontal="center"/>
    </xf>
    <xf numFmtId="0" fontId="41" fillId="0" borderId="0" xfId="0" applyFont="1"/>
    <xf numFmtId="14" fontId="3" fillId="0" borderId="0" xfId="0" applyNumberFormat="1" applyFont="1"/>
    <xf numFmtId="16" fontId="3" fillId="0" borderId="49" xfId="0" applyNumberFormat="1" applyFont="1" applyBorder="1" applyAlignment="1">
      <alignment horizontal="center"/>
    </xf>
    <xf numFmtId="0" fontId="9" fillId="0" borderId="51" xfId="0" applyFont="1" applyBorder="1"/>
    <xf numFmtId="14" fontId="9" fillId="0" borderId="52" xfId="0" applyNumberFormat="1" applyFont="1" applyBorder="1"/>
    <xf numFmtId="0" fontId="3" fillId="0" borderId="51" xfId="0" applyFont="1" applyBorder="1"/>
    <xf numFmtId="16" fontId="3" fillId="0" borderId="53" xfId="0" applyNumberFormat="1" applyFont="1" applyBorder="1" applyAlignment="1">
      <alignment horizontal="center"/>
    </xf>
    <xf numFmtId="14" fontId="37" fillId="0" borderId="0" xfId="0" applyNumberFormat="1" applyFont="1"/>
    <xf numFmtId="0" fontId="9" fillId="16" borderId="32" xfId="0" applyFont="1" applyFill="1" applyBorder="1" applyAlignment="1">
      <alignment horizontal="center"/>
    </xf>
    <xf numFmtId="0" fontId="9" fillId="16" borderId="107" xfId="0" applyFont="1" applyFill="1" applyBorder="1" applyAlignment="1">
      <alignment horizontal="center"/>
    </xf>
    <xf numFmtId="0" fontId="9" fillId="16" borderId="105" xfId="0" applyFont="1" applyFill="1" applyBorder="1" applyAlignment="1">
      <alignment horizontal="center"/>
    </xf>
    <xf numFmtId="0" fontId="9" fillId="16" borderId="108" xfId="0" applyFont="1" applyFill="1" applyBorder="1" applyAlignment="1">
      <alignment horizontal="center"/>
    </xf>
    <xf numFmtId="170" fontId="9" fillId="17" borderId="10" xfId="1" applyNumberFormat="1" applyFont="1" applyFill="1" applyBorder="1" applyAlignment="1" applyProtection="1">
      <alignment horizontal="center"/>
      <protection locked="0"/>
    </xf>
    <xf numFmtId="170" fontId="9" fillId="0" borderId="10" xfId="1" applyNumberFormat="1" applyFont="1" applyFill="1" applyBorder="1" applyAlignment="1" applyProtection="1">
      <alignment horizontal="right"/>
    </xf>
    <xf numFmtId="4" fontId="9" fillId="0" borderId="10" xfId="1" applyNumberFormat="1" applyFont="1" applyFill="1" applyBorder="1" applyAlignment="1" applyProtection="1">
      <alignment horizontal="right"/>
    </xf>
    <xf numFmtId="0" fontId="38" fillId="15" borderId="109" xfId="0" applyFont="1" applyFill="1" applyBorder="1"/>
    <xf numFmtId="0" fontId="38" fillId="15" borderId="109" xfId="0" applyFont="1" applyFill="1" applyBorder="1" applyAlignment="1">
      <alignment horizontal="center"/>
    </xf>
    <xf numFmtId="0" fontId="3" fillId="15" borderId="109" xfId="0" applyFont="1" applyFill="1" applyBorder="1"/>
    <xf numFmtId="0" fontId="38" fillId="15" borderId="0" xfId="0" applyFont="1" applyFill="1"/>
    <xf numFmtId="0" fontId="38" fillId="15" borderId="0" xfId="0" applyFont="1" applyFill="1" applyAlignment="1">
      <alignment horizontal="center"/>
    </xf>
    <xf numFmtId="0" fontId="3" fillId="15" borderId="0" xfId="0" applyFont="1" applyFill="1"/>
    <xf numFmtId="0" fontId="9" fillId="0" borderId="0" xfId="0" applyFont="1" applyAlignment="1">
      <alignment horizontal="center"/>
    </xf>
    <xf numFmtId="165" fontId="9" fillId="0" borderId="0" xfId="0" applyNumberFormat="1" applyFont="1"/>
    <xf numFmtId="165" fontId="39" fillId="0" borderId="0" xfId="0" applyNumberFormat="1" applyFont="1"/>
    <xf numFmtId="165" fontId="39" fillId="0" borderId="0" xfId="1" applyFont="1" applyProtection="1"/>
    <xf numFmtId="0" fontId="42" fillId="0" borderId="0" xfId="0" applyFont="1"/>
    <xf numFmtId="4" fontId="3" fillId="0" borderId="0" xfId="0" applyNumberFormat="1" applyFont="1"/>
    <xf numFmtId="0" fontId="43" fillId="18" borderId="47" xfId="0" applyFont="1" applyFill="1" applyBorder="1" applyAlignment="1">
      <alignment horizontal="center" vertical="center" wrapText="1"/>
    </xf>
    <xf numFmtId="0" fontId="46" fillId="18" borderId="47" xfId="0" applyFont="1" applyFill="1" applyBorder="1" applyAlignment="1">
      <alignment horizontal="center" vertical="center" wrapText="1"/>
    </xf>
    <xf numFmtId="0" fontId="47" fillId="18" borderId="47" xfId="0" applyFont="1" applyFill="1" applyBorder="1" applyAlignment="1">
      <alignment horizontal="center" vertical="center" wrapText="1"/>
    </xf>
    <xf numFmtId="0" fontId="48" fillId="18" borderId="47" xfId="0" applyFont="1" applyFill="1" applyBorder="1" applyAlignment="1">
      <alignment horizontal="center" vertical="center" wrapText="1"/>
    </xf>
    <xf numFmtId="0" fontId="43" fillId="18" borderId="47" xfId="0" applyFont="1" applyFill="1" applyBorder="1" applyAlignment="1">
      <alignment horizontal="center" vertical="center"/>
    </xf>
    <xf numFmtId="0" fontId="43" fillId="20" borderId="47" xfId="0" applyFont="1" applyFill="1" applyBorder="1" applyAlignment="1">
      <alignment horizontal="center" vertical="center"/>
    </xf>
    <xf numFmtId="17" fontId="43" fillId="13" borderId="47" xfId="0" applyNumberFormat="1" applyFont="1" applyFill="1" applyBorder="1" applyAlignment="1">
      <alignment horizontal="center" vertical="center"/>
    </xf>
    <xf numFmtId="10" fontId="43" fillId="13" borderId="47" xfId="0" applyNumberFormat="1" applyFont="1" applyFill="1" applyBorder="1" applyAlignment="1">
      <alignment horizontal="center" vertical="center"/>
    </xf>
    <xf numFmtId="38" fontId="43" fillId="13" borderId="47" xfId="0" applyNumberFormat="1" applyFont="1" applyFill="1" applyBorder="1" applyAlignment="1">
      <alignment horizontal="center" vertical="center"/>
    </xf>
    <xf numFmtId="40" fontId="43" fillId="13" borderId="47" xfId="0" applyNumberFormat="1" applyFont="1" applyFill="1" applyBorder="1" applyAlignment="1">
      <alignment horizontal="center" vertical="center"/>
    </xf>
    <xf numFmtId="0" fontId="49" fillId="10" borderId="47" xfId="0" applyFont="1" applyFill="1" applyBorder="1" applyAlignment="1">
      <alignment horizontal="center" vertical="center"/>
    </xf>
    <xf numFmtId="0" fontId="49" fillId="10" borderId="47" xfId="0" applyFont="1" applyFill="1" applyBorder="1" applyAlignment="1">
      <alignment vertical="center" wrapText="1"/>
    </xf>
    <xf numFmtId="171" fontId="50" fillId="10" borderId="47" xfId="0" applyNumberFormat="1" applyFont="1" applyFill="1" applyBorder="1" applyAlignment="1">
      <alignment horizontal="center" vertical="center"/>
    </xf>
    <xf numFmtId="10" fontId="49" fillId="10" borderId="47" xfId="3" applyNumberFormat="1" applyFont="1" applyFill="1" applyBorder="1" applyAlignment="1" applyProtection="1">
      <alignment horizontal="center" vertical="center"/>
    </xf>
    <xf numFmtId="38" fontId="51" fillId="10" borderId="47" xfId="0" applyNumberFormat="1" applyFont="1" applyFill="1" applyBorder="1" applyAlignment="1">
      <alignment horizontal="center" vertical="center"/>
    </xf>
    <xf numFmtId="9" fontId="49" fillId="10" borderId="47" xfId="3" applyFont="1" applyFill="1" applyBorder="1" applyAlignment="1" applyProtection="1">
      <alignment horizontal="center" vertical="center"/>
    </xf>
    <xf numFmtId="10" fontId="49" fillId="10" borderId="47" xfId="0" applyNumberFormat="1" applyFont="1" applyFill="1" applyBorder="1" applyAlignment="1">
      <alignment horizontal="center" vertical="center"/>
    </xf>
    <xf numFmtId="10" fontId="43" fillId="10" borderId="47" xfId="0" applyNumberFormat="1" applyFont="1" applyFill="1" applyBorder="1" applyAlignment="1">
      <alignment vertical="center"/>
    </xf>
    <xf numFmtId="40" fontId="43" fillId="10" borderId="47" xfId="0" applyNumberFormat="1" applyFont="1" applyFill="1" applyBorder="1" applyAlignment="1">
      <alignment vertical="center"/>
    </xf>
    <xf numFmtId="172" fontId="7" fillId="0" borderId="111" xfId="8" applyNumberFormat="1" applyFont="1" applyBorder="1" applyAlignment="1">
      <alignment horizontal="center" vertical="center"/>
    </xf>
    <xf numFmtId="173" fontId="5" fillId="10" borderId="112" xfId="8" applyNumberFormat="1" applyFont="1" applyFill="1" applyBorder="1" applyAlignment="1">
      <alignment horizontal="center" vertical="center"/>
    </xf>
    <xf numFmtId="0" fontId="7" fillId="0" borderId="113" xfId="8" applyFont="1" applyBorder="1" applyAlignment="1">
      <alignment horizontal="left" vertical="center"/>
    </xf>
    <xf numFmtId="0" fontId="5" fillId="0" borderId="54" xfId="8" applyFont="1" applyBorder="1" applyAlignment="1">
      <alignment horizontal="left" vertical="center"/>
    </xf>
    <xf numFmtId="0" fontId="7" fillId="0" borderId="55" xfId="8" applyFont="1" applyBorder="1" applyAlignment="1">
      <alignment horizontal="left" vertical="center" wrapText="1"/>
    </xf>
    <xf numFmtId="172" fontId="7" fillId="0" borderId="114" xfId="8" applyNumberFormat="1" applyFont="1" applyBorder="1" applyAlignment="1">
      <alignment horizontal="center" vertical="center"/>
    </xf>
    <xf numFmtId="0" fontId="4" fillId="0" borderId="103" xfId="8" applyFont="1" applyBorder="1" applyAlignment="1">
      <alignment horizontal="left" vertical="center"/>
    </xf>
    <xf numFmtId="0" fontId="5" fillId="0" borderId="0" xfId="8" applyFont="1" applyAlignment="1">
      <alignment horizontal="left" vertical="center"/>
    </xf>
    <xf numFmtId="0" fontId="7" fillId="0" borderId="58" xfId="8" applyFont="1" applyBorder="1" applyAlignment="1">
      <alignment horizontal="left" vertical="center" wrapText="1"/>
    </xf>
    <xf numFmtId="173" fontId="5" fillId="0" borderId="112" xfId="8" applyNumberFormat="1" applyFont="1" applyBorder="1" applyAlignment="1">
      <alignment horizontal="center" vertical="center"/>
    </xf>
    <xf numFmtId="0" fontId="7" fillId="0" borderId="115" xfId="8" applyFont="1" applyBorder="1" applyAlignment="1">
      <alignment horizontal="center" vertical="center"/>
    </xf>
    <xf numFmtId="0" fontId="4" fillId="0" borderId="105" xfId="8" applyFont="1" applyBorder="1" applyAlignment="1">
      <alignment horizontal="left" vertical="center"/>
    </xf>
    <xf numFmtId="0" fontId="5" fillId="0" borderId="106" xfId="8" applyFont="1" applyBorder="1" applyAlignment="1">
      <alignment horizontal="left" vertical="center"/>
    </xf>
    <xf numFmtId="0" fontId="7" fillId="0" borderId="116" xfId="8" applyFont="1" applyBorder="1" applyAlignment="1">
      <alignment horizontal="left" vertical="center" wrapText="1"/>
    </xf>
    <xf numFmtId="0" fontId="4" fillId="10" borderId="117" xfId="8" applyFont="1" applyFill="1" applyBorder="1" applyAlignment="1">
      <alignment horizontal="center" vertical="center"/>
    </xf>
    <xf numFmtId="0" fontId="53" fillId="27" borderId="10" xfId="0" applyFont="1" applyFill="1" applyBorder="1" applyAlignment="1">
      <alignment horizontal="center" vertical="center"/>
    </xf>
    <xf numFmtId="0" fontId="53" fillId="22" borderId="10" xfId="0" applyFont="1" applyFill="1" applyBorder="1" applyAlignment="1">
      <alignment horizontal="center" vertical="center"/>
    </xf>
    <xf numFmtId="0" fontId="53" fillId="25" borderId="10" xfId="0" applyFont="1" applyFill="1" applyBorder="1" applyAlignment="1">
      <alignment horizontal="center" vertical="center"/>
    </xf>
    <xf numFmtId="0" fontId="53" fillId="26" borderId="10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3" fillId="28" borderId="0" xfId="0" applyFont="1" applyFill="1" applyAlignment="1">
      <alignment horizontal="center" vertical="center"/>
    </xf>
    <xf numFmtId="0" fontId="54" fillId="28" borderId="0" xfId="0" applyFont="1" applyFill="1" applyAlignment="1">
      <alignment horizontal="center" vertical="center"/>
    </xf>
    <xf numFmtId="165" fontId="53" fillId="28" borderId="0" xfId="1" applyFont="1" applyFill="1" applyAlignment="1" applyProtection="1">
      <alignment horizontal="center" vertical="center"/>
    </xf>
    <xf numFmtId="165" fontId="54" fillId="28" borderId="0" xfId="1" applyFont="1" applyFill="1" applyAlignment="1" applyProtection="1">
      <alignment horizontal="center" vertical="center"/>
    </xf>
    <xf numFmtId="165" fontId="56" fillId="28" borderId="0" xfId="1" applyFont="1" applyFill="1" applyAlignment="1" applyProtection="1">
      <alignment horizontal="center" vertical="center"/>
    </xf>
    <xf numFmtId="0" fontId="53" fillId="29" borderId="10" xfId="0" applyFont="1" applyFill="1" applyBorder="1"/>
    <xf numFmtId="165" fontId="53" fillId="29" borderId="10" xfId="1" applyFont="1" applyFill="1" applyBorder="1" applyProtection="1"/>
    <xf numFmtId="0" fontId="53" fillId="0" borderId="0" xfId="0" applyFont="1"/>
    <xf numFmtId="0" fontId="0" fillId="30" borderId="10" xfId="0" applyFill="1" applyBorder="1"/>
    <xf numFmtId="0" fontId="0" fillId="22" borderId="10" xfId="0" applyFill="1" applyBorder="1"/>
    <xf numFmtId="165" fontId="0" fillId="23" borderId="10" xfId="1" applyFont="1" applyFill="1" applyBorder="1" applyProtection="1"/>
    <xf numFmtId="165" fontId="0" fillId="25" borderId="10" xfId="1" applyFont="1" applyFill="1" applyBorder="1" applyProtection="1"/>
    <xf numFmtId="165" fontId="0" fillId="26" borderId="10" xfId="1" applyFont="1" applyFill="1" applyBorder="1" applyProtection="1"/>
    <xf numFmtId="165" fontId="0" fillId="0" borderId="10" xfId="1" applyFont="1" applyBorder="1" applyProtection="1"/>
    <xf numFmtId="0" fontId="0" fillId="0" borderId="10" xfId="0" applyBorder="1"/>
    <xf numFmtId="0" fontId="53" fillId="29" borderId="10" xfId="0" applyFont="1" applyFill="1" applyBorder="1" applyAlignment="1">
      <alignment horizontal="left"/>
    </xf>
    <xf numFmtId="0" fontId="55" fillId="30" borderId="10" xfId="0" applyFont="1" applyFill="1" applyBorder="1"/>
    <xf numFmtId="0" fontId="55" fillId="31" borderId="10" xfId="0" applyFont="1" applyFill="1" applyBorder="1"/>
    <xf numFmtId="165" fontId="0" fillId="31" borderId="10" xfId="1" applyFont="1" applyFill="1" applyBorder="1" applyProtection="1"/>
    <xf numFmtId="165" fontId="0" fillId="0" borderId="10" xfId="1" applyFont="1" applyFill="1" applyBorder="1" applyProtection="1"/>
    <xf numFmtId="0" fontId="5" fillId="32" borderId="81" xfId="0" applyNumberFormat="1" applyFont="1" applyFill="1" applyBorder="1" applyAlignment="1" applyProtection="1">
      <alignment horizontal="center" vertical="center"/>
    </xf>
    <xf numFmtId="0" fontId="5" fillId="32" borderId="76" xfId="0" applyFont="1" applyFill="1" applyBorder="1" applyAlignment="1" applyProtection="1">
      <alignment horizontal="center" vertical="center"/>
      <protection locked="0"/>
    </xf>
    <xf numFmtId="2" fontId="5" fillId="32" borderId="76" xfId="3" applyNumberFormat="1" applyFont="1" applyFill="1" applyBorder="1" applyAlignment="1" applyProtection="1">
      <alignment horizontal="center" vertical="center"/>
    </xf>
    <xf numFmtId="0" fontId="5" fillId="32" borderId="76" xfId="0" applyFont="1" applyFill="1" applyBorder="1" applyAlignment="1" applyProtection="1">
      <alignment horizontal="center" vertical="center"/>
    </xf>
    <xf numFmtId="0" fontId="5" fillId="33" borderId="75" xfId="0" applyFont="1" applyFill="1" applyBorder="1" applyAlignment="1">
      <alignment horizontal="center" vertical="center"/>
    </xf>
    <xf numFmtId="0" fontId="5" fillId="32" borderId="34" xfId="0" applyFont="1" applyFill="1" applyBorder="1" applyAlignment="1" applyProtection="1">
      <alignment vertical="center"/>
    </xf>
    <xf numFmtId="0" fontId="7" fillId="32" borderId="35" xfId="0" applyFont="1" applyFill="1" applyBorder="1" applyAlignment="1" applyProtection="1">
      <alignment vertical="center"/>
      <protection locked="0"/>
    </xf>
    <xf numFmtId="4" fontId="7" fillId="32" borderId="38" xfId="0" applyNumberFormat="1" applyFont="1" applyFill="1" applyBorder="1" applyAlignment="1" applyProtection="1">
      <alignment horizontal="center" vertical="center"/>
    </xf>
    <xf numFmtId="4" fontId="7" fillId="32" borderId="47" xfId="0" applyNumberFormat="1" applyFont="1" applyFill="1" applyBorder="1" applyAlignment="1" applyProtection="1">
      <alignment horizontal="center" vertical="center" wrapText="1"/>
    </xf>
    <xf numFmtId="9" fontId="7" fillId="32" borderId="47" xfId="3" applyFont="1" applyFill="1" applyBorder="1" applyAlignment="1" applyProtection="1">
      <alignment horizontal="center" vertical="center" wrapText="1"/>
    </xf>
    <xf numFmtId="14" fontId="7" fillId="32" borderId="47" xfId="3" applyNumberFormat="1" applyFont="1" applyFill="1" applyBorder="1" applyAlignment="1" applyProtection="1">
      <alignment horizontal="center" vertical="center" wrapText="1"/>
    </xf>
    <xf numFmtId="169" fontId="7" fillId="32" borderId="47" xfId="3" applyNumberFormat="1" applyFont="1" applyFill="1" applyBorder="1" applyAlignment="1" applyProtection="1">
      <alignment horizontal="center" vertical="center" wrapText="1"/>
    </xf>
    <xf numFmtId="0" fontId="7" fillId="32" borderId="34" xfId="0" applyFont="1" applyFill="1" applyBorder="1" applyAlignment="1" applyProtection="1">
      <alignment vertical="center"/>
    </xf>
    <xf numFmtId="4" fontId="7" fillId="32" borderId="47" xfId="0" applyNumberFormat="1" applyFont="1" applyFill="1" applyBorder="1" applyAlignment="1" applyProtection="1">
      <alignment horizontal="center" vertical="center"/>
    </xf>
    <xf numFmtId="166" fontId="7" fillId="32" borderId="47" xfId="3" applyNumberFormat="1" applyFont="1" applyFill="1" applyBorder="1" applyAlignment="1" applyProtection="1">
      <alignment horizontal="center" vertical="center" wrapText="1"/>
    </xf>
    <xf numFmtId="4" fontId="7" fillId="32" borderId="78" xfId="0" applyNumberFormat="1" applyFont="1" applyFill="1" applyBorder="1" applyAlignment="1" applyProtection="1">
      <alignment horizontal="center" vertical="center"/>
    </xf>
    <xf numFmtId="10" fontId="7" fillId="5" borderId="38" xfId="3" quotePrefix="1" applyNumberFormat="1" applyFont="1" applyFill="1" applyBorder="1" applyAlignment="1" applyProtection="1">
      <alignment horizontal="center" vertical="center"/>
    </xf>
    <xf numFmtId="10" fontId="7" fillId="5" borderId="35" xfId="3" applyNumberFormat="1" applyFont="1" applyFill="1" applyBorder="1" applyAlignment="1" applyProtection="1">
      <alignment horizontal="center" vertical="center"/>
    </xf>
    <xf numFmtId="10" fontId="7" fillId="5" borderId="36" xfId="3" applyNumberFormat="1" applyFont="1" applyFill="1" applyBorder="1" applyAlignment="1" applyProtection="1">
      <alignment horizontal="center" vertical="center"/>
    </xf>
    <xf numFmtId="0" fontId="18" fillId="6" borderId="13" xfId="0" quotePrefix="1" applyNumberFormat="1" applyFont="1" applyFill="1" applyBorder="1" applyAlignment="1" applyProtection="1">
      <alignment horizontal="center" vertical="center" wrapText="1"/>
    </xf>
    <xf numFmtId="0" fontId="18" fillId="6" borderId="13" xfId="0" applyNumberFormat="1" applyFont="1" applyFill="1" applyBorder="1" applyAlignment="1" applyProtection="1">
      <alignment horizontal="center" vertical="center" wrapText="1"/>
    </xf>
    <xf numFmtId="0" fontId="7" fillId="2" borderId="56" xfId="0" applyFont="1" applyFill="1" applyBorder="1" applyAlignment="1" applyProtection="1">
      <alignment horizontal="left" vertical="top" wrapText="1"/>
      <protection locked="0"/>
    </xf>
    <xf numFmtId="0" fontId="7" fillId="2" borderId="54" xfId="0" applyFont="1" applyFill="1" applyBorder="1" applyAlignment="1" applyProtection="1">
      <alignment horizontal="left" vertical="top" wrapText="1"/>
      <protection locked="0"/>
    </xf>
    <xf numFmtId="0" fontId="7" fillId="2" borderId="55" xfId="0" applyFont="1" applyFill="1" applyBorder="1" applyAlignment="1" applyProtection="1">
      <alignment horizontal="left" vertical="top" wrapText="1"/>
      <protection locked="0"/>
    </xf>
    <xf numFmtId="0" fontId="7" fillId="2" borderId="50" xfId="0" applyFont="1" applyFill="1" applyBorder="1" applyAlignment="1" applyProtection="1">
      <alignment horizontal="left" vertical="top" wrapText="1"/>
      <protection locked="0"/>
    </xf>
    <xf numFmtId="0" fontId="7" fillId="2" borderId="0" xfId="0" applyFont="1" applyFill="1" applyBorder="1" applyAlignment="1" applyProtection="1">
      <alignment horizontal="left" vertical="top" wrapText="1"/>
      <protection locked="0"/>
    </xf>
    <xf numFmtId="0" fontId="7" fillId="2" borderId="58" xfId="0" applyFont="1" applyFill="1" applyBorder="1" applyAlignment="1" applyProtection="1">
      <alignment horizontal="left" vertical="top" wrapText="1"/>
      <protection locked="0"/>
    </xf>
    <xf numFmtId="0" fontId="7" fillId="2" borderId="61" xfId="0" applyFont="1" applyFill="1" applyBorder="1" applyAlignment="1" applyProtection="1">
      <alignment horizontal="left" vertical="top" wrapText="1"/>
      <protection locked="0"/>
    </xf>
    <xf numFmtId="0" fontId="7" fillId="2" borderId="27" xfId="0" applyFont="1" applyFill="1" applyBorder="1" applyAlignment="1" applyProtection="1">
      <alignment horizontal="left" vertical="top" wrapText="1"/>
      <protection locked="0"/>
    </xf>
    <xf numFmtId="0" fontId="7" fillId="2" borderId="59" xfId="0" applyFont="1" applyFill="1" applyBorder="1" applyAlignment="1" applyProtection="1">
      <alignment horizontal="left" vertical="top" wrapText="1"/>
      <protection locked="0"/>
    </xf>
    <xf numFmtId="0" fontId="7" fillId="2" borderId="45" xfId="0" applyFont="1" applyFill="1" applyBorder="1" applyAlignment="1" applyProtection="1">
      <alignment horizontal="left" vertical="top"/>
      <protection locked="0"/>
    </xf>
    <xf numFmtId="0" fontId="7" fillId="2" borderId="57" xfId="0" applyFont="1" applyFill="1" applyBorder="1" applyAlignment="1" applyProtection="1">
      <alignment horizontal="left" vertical="top"/>
      <protection locked="0"/>
    </xf>
    <xf numFmtId="0" fontId="7" fillId="2" borderId="35" xfId="0" applyFont="1" applyFill="1" applyBorder="1" applyAlignment="1" applyProtection="1">
      <alignment horizontal="left" vertical="top"/>
      <protection locked="0"/>
    </xf>
    <xf numFmtId="0" fontId="7" fillId="2" borderId="46" xfId="0" applyFont="1" applyFill="1" applyBorder="1" applyAlignment="1" applyProtection="1">
      <alignment horizontal="left" vertical="top"/>
      <protection locked="0"/>
    </xf>
    <xf numFmtId="0" fontId="18" fillId="0" borderId="12" xfId="0" applyFont="1" applyFill="1" applyBorder="1" applyAlignment="1" applyProtection="1">
      <alignment horizontal="center" vertical="center" wrapText="1"/>
    </xf>
    <xf numFmtId="0" fontId="18" fillId="0" borderId="13" xfId="0" applyFont="1" applyFill="1" applyBorder="1" applyAlignment="1" applyProtection="1">
      <alignment horizontal="center" vertical="center" wrapText="1"/>
    </xf>
    <xf numFmtId="0" fontId="12" fillId="6" borderId="13" xfId="0" applyNumberFormat="1" applyFont="1" applyFill="1" applyBorder="1" applyAlignment="1" applyProtection="1">
      <alignment horizontal="center" vertical="center" wrapText="1"/>
    </xf>
    <xf numFmtId="0" fontId="15" fillId="0" borderId="13" xfId="0" applyFont="1" applyFill="1" applyBorder="1" applyAlignment="1" applyProtection="1">
      <alignment horizontal="center" vertical="center"/>
    </xf>
    <xf numFmtId="0" fontId="18" fillId="0" borderId="71" xfId="0" applyFont="1" applyFill="1" applyBorder="1" applyAlignment="1" applyProtection="1">
      <alignment horizontal="center" vertical="center" wrapText="1"/>
    </xf>
    <xf numFmtId="0" fontId="18" fillId="0" borderId="7" xfId="0" applyFont="1" applyFill="1" applyBorder="1" applyAlignment="1" applyProtection="1">
      <alignment horizontal="center" vertical="center" wrapText="1"/>
    </xf>
    <xf numFmtId="0" fontId="4" fillId="2" borderId="7" xfId="0" applyNumberFormat="1" applyFont="1" applyFill="1" applyBorder="1" applyAlignment="1" applyProtection="1">
      <alignment horizontal="center" vertical="center"/>
    </xf>
    <xf numFmtId="0" fontId="15" fillId="0" borderId="7" xfId="0" applyFont="1" applyFill="1" applyBorder="1" applyAlignment="1" applyProtection="1">
      <alignment horizontal="center" vertical="center" wrapText="1"/>
    </xf>
    <xf numFmtId="164" fontId="4" fillId="2" borderId="7" xfId="2" applyFont="1" applyFill="1" applyBorder="1" applyAlignment="1" applyProtection="1">
      <alignment horizontal="center" vertical="center" wrapText="1"/>
    </xf>
    <xf numFmtId="0" fontId="18" fillId="0" borderId="9" xfId="0" applyFont="1" applyFill="1" applyBorder="1" applyAlignment="1" applyProtection="1">
      <alignment horizontal="center" vertical="center" wrapText="1"/>
    </xf>
    <xf numFmtId="0" fontId="18" fillId="0" borderId="10" xfId="0" applyFont="1" applyFill="1" applyBorder="1" applyAlignment="1" applyProtection="1">
      <alignment horizontal="center" vertical="center" wrapText="1"/>
    </xf>
    <xf numFmtId="0" fontId="17" fillId="6" borderId="10" xfId="0" applyNumberFormat="1" applyFont="1" applyFill="1" applyBorder="1" applyAlignment="1" applyProtection="1">
      <alignment horizontal="center" vertical="center" wrapText="1"/>
    </xf>
    <xf numFmtId="4" fontId="5" fillId="6" borderId="10" xfId="1" applyNumberFormat="1" applyFont="1" applyFill="1" applyBorder="1" applyAlignment="1" applyProtection="1">
      <alignment horizontal="center" vertical="center" wrapText="1"/>
    </xf>
    <xf numFmtId="0" fontId="15" fillId="0" borderId="23" xfId="0" applyFont="1" applyFill="1" applyBorder="1" applyAlignment="1" applyProtection="1">
      <alignment horizontal="center" vertical="center" wrapText="1"/>
    </xf>
    <xf numFmtId="0" fontId="15" fillId="0" borderId="24" xfId="0" applyFont="1" applyFill="1" applyBorder="1" applyAlignment="1" applyProtection="1">
      <alignment horizontal="center" vertical="center" wrapText="1"/>
    </xf>
    <xf numFmtId="0" fontId="15" fillId="0" borderId="25" xfId="0" applyFont="1" applyFill="1" applyBorder="1" applyAlignment="1" applyProtection="1">
      <alignment horizontal="center" vertical="center" wrapText="1"/>
    </xf>
    <xf numFmtId="0" fontId="7" fillId="2" borderId="60" xfId="0" applyFont="1" applyFill="1" applyBorder="1" applyAlignment="1" applyProtection="1">
      <alignment horizontal="left" vertical="top" wrapText="1"/>
      <protection locked="0"/>
    </xf>
    <xf numFmtId="0" fontId="7" fillId="2" borderId="49" xfId="0" applyFont="1" applyFill="1" applyBorder="1" applyAlignment="1" applyProtection="1">
      <alignment horizontal="left" vertical="top" wrapText="1"/>
      <protection locked="0"/>
    </xf>
    <xf numFmtId="3" fontId="4" fillId="0" borderId="65" xfId="0" applyNumberFormat="1" applyFont="1" applyBorder="1" applyAlignment="1" applyProtection="1">
      <alignment horizontal="center" vertical="center"/>
    </xf>
    <xf numFmtId="3" fontId="4" fillId="0" borderId="66" xfId="0" applyNumberFormat="1" applyFont="1" applyBorder="1" applyAlignment="1" applyProtection="1">
      <alignment horizontal="center" vertical="center"/>
    </xf>
    <xf numFmtId="0" fontId="7" fillId="2" borderId="42" xfId="0" applyFont="1" applyFill="1" applyBorder="1" applyAlignment="1" applyProtection="1">
      <alignment horizontal="left" vertical="top" wrapText="1"/>
      <protection locked="0"/>
    </xf>
    <xf numFmtId="0" fontId="7" fillId="2" borderId="21" xfId="0" applyFont="1" applyFill="1" applyBorder="1" applyAlignment="1" applyProtection="1">
      <alignment horizontal="left" vertical="top"/>
      <protection locked="0"/>
    </xf>
    <xf numFmtId="0" fontId="7" fillId="2" borderId="43" xfId="0" applyFont="1" applyFill="1" applyBorder="1" applyAlignment="1" applyProtection="1">
      <alignment horizontal="left" vertical="top"/>
      <protection locked="0"/>
    </xf>
    <xf numFmtId="10" fontId="7" fillId="2" borderId="76" xfId="3" quotePrefix="1" applyNumberFormat="1" applyFont="1" applyFill="1" applyBorder="1" applyAlignment="1" applyProtection="1">
      <alignment horizontal="center" vertical="center"/>
    </xf>
    <xf numFmtId="10" fontId="7" fillId="2" borderId="73" xfId="3" applyNumberFormat="1" applyFont="1" applyFill="1" applyBorder="1" applyAlignment="1" applyProtection="1">
      <alignment horizontal="center" vertical="center"/>
    </xf>
    <xf numFmtId="10" fontId="7" fillId="2" borderId="74" xfId="3" applyNumberFormat="1" applyFont="1" applyFill="1" applyBorder="1" applyAlignment="1" applyProtection="1">
      <alignment horizontal="center" vertical="center"/>
    </xf>
    <xf numFmtId="10" fontId="7" fillId="2" borderId="38" xfId="3" quotePrefix="1" applyNumberFormat="1" applyFont="1" applyFill="1" applyBorder="1" applyAlignment="1" applyProtection="1">
      <alignment horizontal="center" vertical="center"/>
      <protection locked="0"/>
    </xf>
    <xf numFmtId="10" fontId="7" fillId="2" borderId="35" xfId="3" applyNumberFormat="1" applyFont="1" applyFill="1" applyBorder="1" applyAlignment="1" applyProtection="1">
      <alignment horizontal="center" vertical="center"/>
      <protection locked="0"/>
    </xf>
    <xf numFmtId="10" fontId="7" fillId="2" borderId="36" xfId="3" applyNumberFormat="1" applyFont="1" applyFill="1" applyBorder="1" applyAlignment="1" applyProtection="1">
      <alignment horizontal="center" vertical="center"/>
      <protection locked="0"/>
    </xf>
    <xf numFmtId="10" fontId="7" fillId="2" borderId="38" xfId="3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54" xfId="0" applyBorder="1" applyAlignment="1" applyProtection="1">
      <alignment horizontal="center" vertical="center"/>
      <protection locked="0"/>
    </xf>
    <xf numFmtId="0" fontId="21" fillId="0" borderId="51" xfId="0" applyFont="1" applyFill="1" applyBorder="1" applyAlignment="1" applyProtection="1">
      <alignment horizontal="left" vertical="center"/>
    </xf>
    <xf numFmtId="0" fontId="21" fillId="0" borderId="52" xfId="0" applyFont="1" applyFill="1" applyBorder="1" applyAlignment="1" applyProtection="1">
      <alignment horizontal="left" vertical="center"/>
    </xf>
    <xf numFmtId="0" fontId="21" fillId="0" borderId="53" xfId="0" applyFont="1" applyFill="1" applyBorder="1" applyAlignment="1" applyProtection="1">
      <alignment horizontal="left" vertical="center"/>
    </xf>
    <xf numFmtId="0" fontId="11" fillId="2" borderId="56" xfId="0" applyFont="1" applyFill="1" applyBorder="1" applyAlignment="1" applyProtection="1">
      <alignment horizontal="left" vertical="top" wrapText="1"/>
      <protection locked="0"/>
    </xf>
    <xf numFmtId="0" fontId="11" fillId="2" borderId="54" xfId="0" applyFont="1" applyFill="1" applyBorder="1" applyAlignment="1" applyProtection="1">
      <alignment horizontal="left" vertical="top" wrapText="1"/>
      <protection locked="0"/>
    </xf>
    <xf numFmtId="0" fontId="11" fillId="2" borderId="55" xfId="0" applyFont="1" applyFill="1" applyBorder="1" applyAlignment="1" applyProtection="1">
      <alignment horizontal="left" vertical="top" wrapText="1"/>
      <protection locked="0"/>
    </xf>
    <xf numFmtId="0" fontId="11" fillId="2" borderId="50" xfId="0" applyFont="1" applyFill="1" applyBorder="1" applyAlignment="1" applyProtection="1">
      <alignment horizontal="left" vertical="top" wrapText="1"/>
      <protection locked="0"/>
    </xf>
    <xf numFmtId="0" fontId="11" fillId="2" borderId="0" xfId="0" applyFont="1" applyFill="1" applyBorder="1" applyAlignment="1" applyProtection="1">
      <alignment horizontal="left" vertical="top" wrapText="1"/>
      <protection locked="0"/>
    </xf>
    <xf numFmtId="0" fontId="11" fillId="2" borderId="58" xfId="0" applyFont="1" applyFill="1" applyBorder="1" applyAlignment="1" applyProtection="1">
      <alignment horizontal="left" vertical="top" wrapText="1"/>
      <protection locked="0"/>
    </xf>
    <xf numFmtId="0" fontId="11" fillId="2" borderId="61" xfId="0" applyFont="1" applyFill="1" applyBorder="1" applyAlignment="1" applyProtection="1">
      <alignment horizontal="left" vertical="top" wrapText="1"/>
      <protection locked="0"/>
    </xf>
    <xf numFmtId="0" fontId="11" fillId="2" borderId="27" xfId="0" applyFont="1" applyFill="1" applyBorder="1" applyAlignment="1" applyProtection="1">
      <alignment horizontal="left" vertical="top" wrapText="1"/>
      <protection locked="0"/>
    </xf>
    <xf numFmtId="0" fontId="11" fillId="2" borderId="59" xfId="0" applyFont="1" applyFill="1" applyBorder="1" applyAlignment="1" applyProtection="1">
      <alignment horizontal="left" vertical="top" wrapText="1"/>
      <protection locked="0"/>
    </xf>
    <xf numFmtId="0" fontId="11" fillId="10" borderId="50" xfId="0" applyFont="1" applyFill="1" applyBorder="1" applyAlignment="1" applyProtection="1">
      <alignment horizontal="center" vertical="top" wrapText="1"/>
      <protection locked="0"/>
    </xf>
    <xf numFmtId="0" fontId="11" fillId="2" borderId="60" xfId="0" applyFont="1" applyFill="1" applyBorder="1" applyAlignment="1" applyProtection="1">
      <alignment horizontal="left" vertical="top" wrapText="1"/>
      <protection locked="0"/>
    </xf>
    <xf numFmtId="0" fontId="11" fillId="2" borderId="49" xfId="0" applyFont="1" applyFill="1" applyBorder="1" applyAlignment="1" applyProtection="1">
      <alignment horizontal="left" vertical="top" wrapText="1"/>
      <protection locked="0"/>
    </xf>
    <xf numFmtId="0" fontId="11" fillId="2" borderId="62" xfId="0" applyFont="1" applyFill="1" applyBorder="1" applyAlignment="1" applyProtection="1">
      <alignment horizontal="left" vertical="top" wrapText="1"/>
      <protection locked="0"/>
    </xf>
    <xf numFmtId="14" fontId="9" fillId="0" borderId="45" xfId="0" applyNumberFormat="1" applyFont="1" applyBorder="1" applyAlignment="1" applyProtection="1">
      <alignment horizontal="center" vertical="center" wrapText="1"/>
    </xf>
    <xf numFmtId="14" fontId="9" fillId="0" borderId="46" xfId="0" applyNumberFormat="1" applyFont="1" applyBorder="1" applyAlignment="1" applyProtection="1">
      <alignment horizontal="center" vertical="center" wrapText="1"/>
    </xf>
    <xf numFmtId="0" fontId="9" fillId="0" borderId="47" xfId="0" applyFont="1" applyBorder="1" applyAlignment="1" applyProtection="1">
      <alignment horizontal="center" vertical="center" wrapText="1"/>
    </xf>
    <xf numFmtId="0" fontId="3" fillId="0" borderId="45" xfId="0" applyFont="1" applyBorder="1" applyAlignment="1" applyProtection="1">
      <alignment horizontal="center" vertical="center"/>
    </xf>
    <xf numFmtId="0" fontId="3" fillId="0" borderId="57" xfId="0" applyFont="1" applyBorder="1" applyAlignment="1" applyProtection="1">
      <alignment horizontal="center" vertical="center"/>
    </xf>
    <xf numFmtId="0" fontId="7" fillId="2" borderId="62" xfId="0" applyFont="1" applyFill="1" applyBorder="1" applyAlignment="1" applyProtection="1">
      <alignment horizontal="left" vertical="top" wrapText="1"/>
      <protection locked="0"/>
    </xf>
    <xf numFmtId="0" fontId="5" fillId="2" borderId="45" xfId="0" applyFont="1" applyFill="1" applyBorder="1" applyAlignment="1" applyProtection="1">
      <alignment horizontal="center" vertical="center"/>
      <protection locked="0"/>
    </xf>
    <xf numFmtId="0" fontId="5" fillId="2" borderId="35" xfId="0" applyFont="1" applyFill="1" applyBorder="1" applyAlignment="1" applyProtection="1">
      <alignment horizontal="center" vertical="center"/>
      <protection locked="0"/>
    </xf>
    <xf numFmtId="0" fontId="5" fillId="2" borderId="46" xfId="0" applyFont="1" applyFill="1" applyBorder="1" applyAlignment="1" applyProtection="1">
      <alignment horizontal="center" vertical="center"/>
      <protection locked="0"/>
    </xf>
    <xf numFmtId="4" fontId="16" fillId="2" borderId="47" xfId="0" applyNumberFormat="1" applyFont="1" applyFill="1" applyBorder="1" applyAlignment="1" applyProtection="1">
      <alignment horizontal="center" vertical="center"/>
    </xf>
    <xf numFmtId="0" fontId="19" fillId="0" borderId="2" xfId="0" applyFont="1" applyBorder="1" applyAlignment="1" applyProtection="1">
      <alignment horizontal="center" vertical="center"/>
    </xf>
    <xf numFmtId="0" fontId="19" fillId="0" borderId="3" xfId="0" applyFont="1" applyBorder="1" applyAlignment="1" applyProtection="1">
      <alignment horizontal="center" vertical="center"/>
    </xf>
    <xf numFmtId="0" fontId="5" fillId="0" borderId="4" xfId="0" applyFont="1" applyFill="1" applyBorder="1" applyAlignment="1" applyProtection="1">
      <alignment horizontal="center" vertical="center"/>
    </xf>
    <xf numFmtId="0" fontId="5" fillId="0" borderId="5" xfId="0" applyFont="1" applyFill="1" applyBorder="1" applyAlignment="1" applyProtection="1">
      <alignment horizontal="center" vertical="center"/>
    </xf>
    <xf numFmtId="0" fontId="28" fillId="2" borderId="6" xfId="0" applyNumberFormat="1" applyFont="1" applyFill="1" applyBorder="1" applyAlignment="1" applyProtection="1">
      <alignment horizontal="center" vertical="center"/>
    </xf>
    <xf numFmtId="0" fontId="28" fillId="2" borderId="5" xfId="0" applyNumberFormat="1" applyFont="1" applyFill="1" applyBorder="1" applyAlignment="1" applyProtection="1">
      <alignment horizontal="center" vertical="center"/>
    </xf>
    <xf numFmtId="2" fontId="5" fillId="2" borderId="6" xfId="3" applyNumberFormat="1" applyFont="1" applyFill="1" applyBorder="1" applyAlignment="1" applyProtection="1">
      <alignment horizontal="center" vertical="center"/>
    </xf>
    <xf numFmtId="2" fontId="5" fillId="2" borderId="5" xfId="3" applyNumberFormat="1" applyFont="1" applyFill="1" applyBorder="1" applyAlignment="1" applyProtection="1">
      <alignment horizontal="center" vertical="center"/>
    </xf>
    <xf numFmtId="0" fontId="5" fillId="0" borderId="7" xfId="0" applyFont="1" applyFill="1" applyBorder="1" applyAlignment="1" applyProtection="1">
      <alignment horizontal="center" vertical="center"/>
    </xf>
    <xf numFmtId="0" fontId="5" fillId="0" borderId="8" xfId="0" applyFont="1" applyFill="1" applyBorder="1" applyAlignment="1" applyProtection="1">
      <alignment horizontal="center" vertical="center"/>
    </xf>
    <xf numFmtId="0" fontId="5" fillId="0" borderId="6" xfId="0" applyFont="1" applyFill="1" applyBorder="1" applyAlignment="1" applyProtection="1">
      <alignment horizontal="center" vertical="center"/>
    </xf>
    <xf numFmtId="0" fontId="5" fillId="0" borderId="63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19" fillId="0" borderId="2" xfId="0" applyFont="1" applyBorder="1" applyAlignment="1" applyProtection="1">
      <alignment horizontal="center" vertical="center"/>
      <protection locked="0"/>
    </xf>
    <xf numFmtId="0" fontId="5" fillId="0" borderId="9" xfId="0" applyFont="1" applyFill="1" applyBorder="1" applyAlignment="1" applyProtection="1">
      <alignment horizontal="center" vertical="center"/>
    </xf>
    <xf numFmtId="0" fontId="5" fillId="0" borderId="10" xfId="0" applyFont="1" applyFill="1" applyBorder="1" applyAlignment="1" applyProtection="1">
      <alignment horizontal="center" vertical="center"/>
    </xf>
    <xf numFmtId="0" fontId="5" fillId="3" borderId="10" xfId="0" applyFont="1" applyFill="1" applyBorder="1" applyAlignment="1" applyProtection="1">
      <alignment horizontal="center" vertical="center"/>
      <protection locked="0"/>
    </xf>
    <xf numFmtId="164" fontId="11" fillId="7" borderId="47" xfId="2" applyFont="1" applyFill="1" applyBorder="1" applyAlignment="1" applyProtection="1">
      <alignment horizontal="center" vertical="center"/>
    </xf>
    <xf numFmtId="0" fontId="10" fillId="0" borderId="45" xfId="0" applyFont="1" applyFill="1" applyBorder="1" applyAlignment="1" applyProtection="1">
      <alignment horizontal="left" vertical="center" wrapText="1"/>
    </xf>
    <xf numFmtId="0" fontId="10" fillId="0" borderId="57" xfId="0" applyFont="1" applyFill="1" applyBorder="1" applyAlignment="1" applyProtection="1">
      <alignment horizontal="left" vertical="center" wrapText="1"/>
    </xf>
    <xf numFmtId="0" fontId="9" fillId="0" borderId="47" xfId="0" applyFont="1" applyBorder="1" applyAlignment="1" applyProtection="1">
      <alignment horizontal="center" vertical="center"/>
    </xf>
    <xf numFmtId="14" fontId="29" fillId="2" borderId="45" xfId="0" applyNumberFormat="1" applyFont="1" applyFill="1" applyBorder="1" applyAlignment="1" applyProtection="1">
      <alignment horizontal="center" vertical="center"/>
    </xf>
    <xf numFmtId="14" fontId="29" fillId="2" borderId="46" xfId="0" applyNumberFormat="1" applyFont="1" applyFill="1" applyBorder="1" applyAlignment="1" applyProtection="1">
      <alignment horizontal="center" vertical="center"/>
    </xf>
    <xf numFmtId="0" fontId="11" fillId="0" borderId="56" xfId="0" applyFont="1" applyBorder="1" applyAlignment="1" applyProtection="1">
      <alignment horizontal="left" vertical="top" wrapText="1"/>
      <protection locked="0"/>
    </xf>
    <xf numFmtId="0" fontId="11" fillId="0" borderId="54" xfId="0" applyFont="1" applyBorder="1" applyAlignment="1" applyProtection="1">
      <alignment horizontal="left" vertical="top" wrapText="1"/>
      <protection locked="0"/>
    </xf>
    <xf numFmtId="0" fontId="11" fillId="0" borderId="60" xfId="0" applyFont="1" applyBorder="1" applyAlignment="1" applyProtection="1">
      <alignment horizontal="left" vertical="top" wrapText="1"/>
      <protection locked="0"/>
    </xf>
    <xf numFmtId="0" fontId="11" fillId="0" borderId="61" xfId="0" applyFont="1" applyBorder="1" applyAlignment="1" applyProtection="1">
      <alignment horizontal="left" vertical="top" wrapText="1"/>
      <protection locked="0"/>
    </xf>
    <xf numFmtId="0" fontId="11" fillId="0" borderId="27" xfId="0" applyFont="1" applyBorder="1" applyAlignment="1" applyProtection="1">
      <alignment horizontal="left" vertical="top" wrapText="1"/>
      <protection locked="0"/>
    </xf>
    <xf numFmtId="0" fontId="11" fillId="0" borderId="62" xfId="0" applyFont="1" applyBorder="1" applyAlignment="1" applyProtection="1">
      <alignment horizontal="left" vertical="top" wrapText="1"/>
      <protection locked="0"/>
    </xf>
    <xf numFmtId="2" fontId="5" fillId="2" borderId="10" xfId="3" applyNumberFormat="1" applyFont="1" applyFill="1" applyBorder="1" applyAlignment="1" applyProtection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</xf>
    <xf numFmtId="2" fontId="5" fillId="2" borderId="13" xfId="3" applyNumberFormat="1" applyFont="1" applyFill="1" applyBorder="1" applyAlignment="1" applyProtection="1">
      <alignment horizontal="center" vertical="center"/>
    </xf>
    <xf numFmtId="2" fontId="5" fillId="2" borderId="14" xfId="3" applyNumberFormat="1" applyFont="1" applyFill="1" applyBorder="1" applyAlignment="1" applyProtection="1">
      <alignment horizontal="center" vertical="center"/>
    </xf>
    <xf numFmtId="0" fontId="5" fillId="0" borderId="15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5" fillId="0" borderId="17" xfId="0" applyFont="1" applyBorder="1" applyAlignment="1" applyProtection="1">
      <alignment horizontal="center" vertical="center" wrapText="1"/>
    </xf>
    <xf numFmtId="0" fontId="9" fillId="0" borderId="18" xfId="0" applyFont="1" applyBorder="1" applyAlignment="1" applyProtection="1">
      <alignment horizontal="center" vertical="center"/>
    </xf>
    <xf numFmtId="0" fontId="9" fillId="0" borderId="19" xfId="0" applyFont="1" applyBorder="1" applyAlignment="1" applyProtection="1">
      <alignment horizontal="center" vertical="center"/>
    </xf>
    <xf numFmtId="0" fontId="9" fillId="0" borderId="9" xfId="0" applyFont="1" applyBorder="1" applyAlignment="1" applyProtection="1">
      <alignment horizontal="center" vertical="center"/>
    </xf>
    <xf numFmtId="0" fontId="9" fillId="0" borderId="10" xfId="0" applyFont="1" applyBorder="1" applyAlignment="1" applyProtection="1">
      <alignment horizontal="center" vertical="center"/>
    </xf>
    <xf numFmtId="0" fontId="15" fillId="4" borderId="23" xfId="0" quotePrefix="1" applyFont="1" applyFill="1" applyBorder="1" applyAlignment="1" applyProtection="1">
      <alignment horizontal="center" vertical="center" wrapText="1"/>
    </xf>
    <xf numFmtId="0" fontId="15" fillId="4" borderId="24" xfId="0" applyFont="1" applyFill="1" applyBorder="1" applyAlignment="1" applyProtection="1">
      <alignment horizontal="center" vertical="center" wrapText="1"/>
    </xf>
    <xf numFmtId="0" fontId="15" fillId="4" borderId="25" xfId="0" applyFont="1" applyFill="1" applyBorder="1" applyAlignment="1" applyProtection="1">
      <alignment horizontal="center" vertical="center" wrapText="1"/>
    </xf>
    <xf numFmtId="4" fontId="7" fillId="2" borderId="67" xfId="0" applyNumberFormat="1" applyFont="1" applyFill="1" applyBorder="1" applyAlignment="1" applyProtection="1">
      <alignment horizontal="center" vertical="center"/>
    </xf>
    <xf numFmtId="4" fontId="7" fillId="2" borderId="68" xfId="0" applyNumberFormat="1" applyFont="1" applyFill="1" applyBorder="1" applyAlignment="1" applyProtection="1">
      <alignment horizontal="center" vertical="center"/>
    </xf>
    <xf numFmtId="4" fontId="7" fillId="2" borderId="69" xfId="0" applyNumberFormat="1" applyFont="1" applyFill="1" applyBorder="1" applyAlignment="1" applyProtection="1">
      <alignment horizontal="center" vertical="center"/>
    </xf>
    <xf numFmtId="4" fontId="7" fillId="2" borderId="30" xfId="0" applyNumberFormat="1" applyFont="1" applyFill="1" applyBorder="1" applyAlignment="1" applyProtection="1">
      <alignment horizontal="center" vertical="center"/>
    </xf>
    <xf numFmtId="4" fontId="7" fillId="2" borderId="31" xfId="0" applyNumberFormat="1" applyFont="1" applyFill="1" applyBorder="1" applyAlignment="1" applyProtection="1">
      <alignment horizontal="center" vertical="center"/>
    </xf>
    <xf numFmtId="0" fontId="7" fillId="2" borderId="44" xfId="0" applyFont="1" applyFill="1" applyBorder="1" applyAlignment="1" applyProtection="1">
      <alignment horizontal="left" vertical="top" wrapText="1"/>
      <protection locked="0"/>
    </xf>
    <xf numFmtId="0" fontId="5" fillId="0" borderId="42" xfId="0" applyFont="1" applyFill="1" applyBorder="1" applyAlignment="1" applyProtection="1">
      <alignment horizontal="center" vertical="center" wrapText="1"/>
    </xf>
    <xf numFmtId="0" fontId="5" fillId="0" borderId="21" xfId="0" applyFont="1" applyFill="1" applyBorder="1" applyAlignment="1" applyProtection="1">
      <alignment horizontal="center" vertical="center" wrapText="1"/>
    </xf>
    <xf numFmtId="0" fontId="5" fillId="0" borderId="44" xfId="0" applyFont="1" applyFill="1" applyBorder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51" xfId="0" applyFont="1" applyFill="1" applyBorder="1" applyAlignment="1" applyProtection="1">
      <alignment horizontal="center" vertical="center" wrapText="1"/>
    </xf>
    <xf numFmtId="0" fontId="5" fillId="0" borderId="52" xfId="0" applyFont="1" applyFill="1" applyBorder="1" applyAlignment="1" applyProtection="1">
      <alignment horizontal="center" vertical="center" wrapText="1"/>
    </xf>
    <xf numFmtId="0" fontId="7" fillId="2" borderId="51" xfId="0" applyFont="1" applyFill="1" applyBorder="1" applyAlignment="1" applyProtection="1">
      <alignment horizontal="left" vertical="top" wrapText="1"/>
      <protection locked="0"/>
    </xf>
    <xf numFmtId="0" fontId="7" fillId="2" borderId="52" xfId="0" applyFont="1" applyFill="1" applyBorder="1" applyAlignment="1" applyProtection="1">
      <alignment horizontal="left" vertical="top" wrapText="1"/>
      <protection locked="0"/>
    </xf>
    <xf numFmtId="0" fontId="7" fillId="2" borderId="53" xfId="0" applyFont="1" applyFill="1" applyBorder="1" applyAlignment="1" applyProtection="1">
      <alignment horizontal="left" vertical="top" wrapText="1"/>
      <protection locked="0"/>
    </xf>
    <xf numFmtId="0" fontId="5" fillId="0" borderId="42" xfId="0" applyFont="1" applyBorder="1" applyAlignment="1" applyProtection="1">
      <alignment horizontal="left" vertical="center"/>
      <protection locked="0"/>
    </xf>
    <xf numFmtId="0" fontId="5" fillId="0" borderId="21" xfId="0" applyFont="1" applyBorder="1" applyAlignment="1" applyProtection="1">
      <alignment horizontal="left" vertical="center"/>
      <protection locked="0"/>
    </xf>
    <xf numFmtId="0" fontId="5" fillId="0" borderId="43" xfId="0" applyFont="1" applyBorder="1" applyAlignment="1" applyProtection="1">
      <alignment horizontal="left" vertical="center"/>
      <protection locked="0"/>
    </xf>
    <xf numFmtId="167" fontId="28" fillId="2" borderId="10" xfId="2" applyNumberFormat="1" applyFont="1" applyFill="1" applyBorder="1" applyAlignment="1" applyProtection="1">
      <alignment horizontal="center" vertical="center"/>
    </xf>
    <xf numFmtId="167" fontId="28" fillId="2" borderId="11" xfId="2" applyNumberFormat="1" applyFont="1" applyFill="1" applyBorder="1" applyAlignment="1" applyProtection="1">
      <alignment horizontal="center" vertical="center"/>
    </xf>
    <xf numFmtId="0" fontId="5" fillId="2" borderId="23" xfId="0" applyFont="1" applyFill="1" applyBorder="1" applyAlignment="1" applyProtection="1">
      <alignment horizontal="center" vertical="center"/>
    </xf>
    <xf numFmtId="0" fontId="5" fillId="2" borderId="25" xfId="0" applyFont="1" applyFill="1" applyBorder="1" applyAlignment="1" applyProtection="1">
      <alignment horizontal="center" vertical="center"/>
    </xf>
    <xf numFmtId="0" fontId="5" fillId="2" borderId="24" xfId="0" applyFont="1" applyFill="1" applyBorder="1" applyAlignment="1" applyProtection="1">
      <alignment horizontal="center" vertical="center"/>
    </xf>
    <xf numFmtId="0" fontId="20" fillId="2" borderId="10" xfId="0" applyFont="1" applyFill="1" applyBorder="1" applyAlignment="1" applyProtection="1">
      <alignment horizontal="left" vertical="center" wrapText="1"/>
      <protection locked="0"/>
    </xf>
    <xf numFmtId="4" fontId="7" fillId="2" borderId="38" xfId="0" quotePrefix="1" applyNumberFormat="1" applyFont="1" applyFill="1" applyBorder="1" applyAlignment="1" applyProtection="1">
      <alignment horizontal="center" vertical="center"/>
    </xf>
    <xf numFmtId="4" fontId="7" fillId="2" borderId="35" xfId="0" applyNumberFormat="1" applyFont="1" applyFill="1" applyBorder="1" applyAlignment="1" applyProtection="1">
      <alignment horizontal="center" vertical="center"/>
    </xf>
    <xf numFmtId="4" fontId="7" fillId="2" borderId="36" xfId="0" applyNumberFormat="1" applyFont="1" applyFill="1" applyBorder="1" applyAlignment="1" applyProtection="1">
      <alignment horizontal="center" vertical="center"/>
    </xf>
    <xf numFmtId="4" fontId="7" fillId="5" borderId="38" xfId="1" quotePrefix="1" applyNumberFormat="1" applyFont="1" applyFill="1" applyBorder="1" applyAlignment="1" applyProtection="1">
      <alignment horizontal="center" vertical="center"/>
    </xf>
    <xf numFmtId="4" fontId="7" fillId="5" borderId="35" xfId="1" applyNumberFormat="1" applyFont="1" applyFill="1" applyBorder="1" applyAlignment="1" applyProtection="1">
      <alignment horizontal="center" vertical="center"/>
    </xf>
    <xf numFmtId="4" fontId="7" fillId="5" borderId="36" xfId="1" applyNumberFormat="1" applyFont="1" applyFill="1" applyBorder="1" applyAlignment="1" applyProtection="1">
      <alignment horizontal="center" vertical="center"/>
    </xf>
    <xf numFmtId="0" fontId="0" fillId="0" borderId="20" xfId="0" applyFill="1" applyBorder="1" applyAlignment="1" applyProtection="1">
      <alignment horizontal="center" vertical="center" wrapText="1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2" xfId="0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/>
    </xf>
    <xf numFmtId="0" fontId="5" fillId="0" borderId="13" xfId="0" applyFont="1" applyFill="1" applyBorder="1" applyAlignment="1" applyProtection="1">
      <alignment horizontal="center" vertical="center"/>
    </xf>
    <xf numFmtId="0" fontId="20" fillId="2" borderId="13" xfId="0" applyFont="1" applyFill="1" applyBorder="1" applyAlignment="1" applyProtection="1">
      <alignment horizontal="left" vertical="center" wrapText="1"/>
      <protection locked="0"/>
    </xf>
    <xf numFmtId="49" fontId="5" fillId="2" borderId="10" xfId="0" applyNumberFormat="1" applyFont="1" applyFill="1" applyBorder="1" applyAlignment="1" applyProtection="1">
      <alignment horizontal="center" vertical="center"/>
    </xf>
    <xf numFmtId="49" fontId="5" fillId="2" borderId="11" xfId="0" applyNumberFormat="1" applyFont="1" applyFill="1" applyBorder="1" applyAlignment="1" applyProtection="1">
      <alignment horizontal="center" vertical="center"/>
    </xf>
    <xf numFmtId="0" fontId="7" fillId="11" borderId="51" xfId="0" applyFont="1" applyFill="1" applyBorder="1" applyAlignment="1" applyProtection="1">
      <alignment horizontal="left" vertical="top" wrapText="1"/>
      <protection locked="0"/>
    </xf>
    <xf numFmtId="0" fontId="7" fillId="11" borderId="52" xfId="0" applyFont="1" applyFill="1" applyBorder="1" applyAlignment="1" applyProtection="1">
      <alignment horizontal="left" vertical="top" wrapText="1"/>
      <protection locked="0"/>
    </xf>
    <xf numFmtId="0" fontId="7" fillId="11" borderId="53" xfId="0" applyFont="1" applyFill="1" applyBorder="1" applyAlignment="1" applyProtection="1">
      <alignment horizontal="left" vertical="top" wrapText="1"/>
      <protection locked="0"/>
    </xf>
    <xf numFmtId="0" fontId="18" fillId="0" borderId="4" xfId="0" applyFont="1" applyFill="1" applyBorder="1" applyAlignment="1" applyProtection="1">
      <alignment horizontal="center" vertical="center" wrapText="1"/>
    </xf>
    <xf numFmtId="0" fontId="18" fillId="0" borderId="5" xfId="0" applyFont="1" applyFill="1" applyBorder="1" applyAlignment="1" applyProtection="1">
      <alignment horizontal="center" vertical="center" wrapText="1"/>
    </xf>
    <xf numFmtId="0" fontId="4" fillId="11" borderId="6" xfId="0" applyNumberFormat="1" applyFont="1" applyFill="1" applyBorder="1" applyAlignment="1" applyProtection="1">
      <alignment horizontal="center" vertical="center"/>
    </xf>
    <xf numFmtId="0" fontId="4" fillId="11" borderId="5" xfId="0" applyNumberFormat="1" applyFont="1" applyFill="1" applyBorder="1" applyAlignment="1" applyProtection="1">
      <alignment horizontal="center" vertical="center"/>
    </xf>
    <xf numFmtId="0" fontId="9" fillId="11" borderId="63" xfId="0" applyFont="1" applyFill="1" applyBorder="1" applyAlignment="1" applyProtection="1">
      <alignment horizontal="center" vertical="center" wrapText="1"/>
      <protection locked="0"/>
    </xf>
    <xf numFmtId="0" fontId="9" fillId="11" borderId="5" xfId="0" applyFont="1" applyFill="1" applyBorder="1" applyAlignment="1" applyProtection="1">
      <alignment horizontal="center" vertical="center" wrapText="1"/>
      <protection locked="0"/>
    </xf>
    <xf numFmtId="0" fontId="7" fillId="11" borderId="42" xfId="0" applyFont="1" applyFill="1" applyBorder="1" applyAlignment="1" applyProtection="1">
      <alignment horizontal="left" vertical="top" wrapText="1"/>
      <protection locked="0"/>
    </xf>
    <xf numFmtId="0" fontId="7" fillId="11" borderId="21" xfId="0" applyFont="1" applyFill="1" applyBorder="1" applyAlignment="1" applyProtection="1">
      <alignment horizontal="left" vertical="top" wrapText="1"/>
      <protection locked="0"/>
    </xf>
    <xf numFmtId="0" fontId="7" fillId="11" borderId="43" xfId="0" applyFont="1" applyFill="1" applyBorder="1" applyAlignment="1" applyProtection="1">
      <alignment horizontal="left" vertical="top" wrapText="1"/>
      <protection locked="0"/>
    </xf>
    <xf numFmtId="0" fontId="7" fillId="11" borderId="44" xfId="0" applyFont="1" applyFill="1" applyBorder="1" applyAlignment="1" applyProtection="1">
      <alignment horizontal="left" vertical="top" wrapText="1"/>
      <protection locked="0"/>
    </xf>
    <xf numFmtId="0" fontId="7" fillId="11" borderId="0" xfId="0" applyFont="1" applyFill="1" applyBorder="1" applyAlignment="1" applyProtection="1">
      <alignment horizontal="left" vertical="top" wrapText="1"/>
      <protection locked="0"/>
    </xf>
    <xf numFmtId="0" fontId="7" fillId="11" borderId="49" xfId="0" applyFont="1" applyFill="1" applyBorder="1" applyAlignment="1" applyProtection="1">
      <alignment horizontal="left" vertical="top" wrapText="1"/>
      <protection locked="0"/>
    </xf>
    <xf numFmtId="0" fontId="5" fillId="0" borderId="52" xfId="0" applyFont="1" applyBorder="1" applyAlignment="1" applyProtection="1">
      <alignment horizontal="center" vertical="center" wrapText="1"/>
    </xf>
    <xf numFmtId="0" fontId="5" fillId="0" borderId="53" xfId="0" applyFont="1" applyBorder="1" applyAlignment="1" applyProtection="1">
      <alignment horizontal="center" vertical="center" wrapText="1"/>
    </xf>
    <xf numFmtId="0" fontId="20" fillId="32" borderId="10" xfId="0" applyFont="1" applyFill="1" applyBorder="1" applyAlignment="1" applyProtection="1">
      <alignment horizontal="left" vertical="center" wrapText="1"/>
      <protection locked="0"/>
    </xf>
    <xf numFmtId="0" fontId="5" fillId="0" borderId="30" xfId="0" applyFont="1" applyFill="1" applyBorder="1" applyAlignment="1" applyProtection="1">
      <alignment horizontal="center" vertical="center"/>
    </xf>
    <xf numFmtId="0" fontId="5" fillId="0" borderId="87" xfId="0" applyFont="1" applyFill="1" applyBorder="1" applyAlignment="1" applyProtection="1">
      <alignment horizontal="center" vertical="center"/>
    </xf>
    <xf numFmtId="49" fontId="5" fillId="33" borderId="76" xfId="0" applyNumberFormat="1" applyFont="1" applyFill="1" applyBorder="1" applyAlignment="1">
      <alignment horizontal="center" vertical="center"/>
    </xf>
    <xf numFmtId="49" fontId="5" fillId="33" borderId="86" xfId="0" applyNumberFormat="1" applyFont="1" applyFill="1" applyBorder="1" applyAlignment="1">
      <alignment horizontal="center" vertical="center"/>
    </xf>
    <xf numFmtId="0" fontId="20" fillId="32" borderId="13" xfId="0" applyFont="1" applyFill="1" applyBorder="1" applyAlignment="1" applyProtection="1">
      <alignment horizontal="left" vertical="center" wrapText="1"/>
      <protection locked="0"/>
    </xf>
    <xf numFmtId="2" fontId="5" fillId="32" borderId="88" xfId="3" applyNumberFormat="1" applyFont="1" applyFill="1" applyBorder="1" applyAlignment="1" applyProtection="1">
      <alignment horizontal="center" vertical="center"/>
    </xf>
    <xf numFmtId="2" fontId="5" fillId="32" borderId="89" xfId="3" applyNumberFormat="1" applyFont="1" applyFill="1" applyBorder="1" applyAlignment="1" applyProtection="1">
      <alignment horizontal="center" vertical="center"/>
    </xf>
    <xf numFmtId="0" fontId="9" fillId="0" borderId="94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167" fontId="5" fillId="32" borderId="76" xfId="2" applyNumberFormat="1" applyFont="1" applyFill="1" applyBorder="1" applyAlignment="1" applyProtection="1">
      <alignment horizontal="center" vertical="center"/>
    </xf>
    <xf numFmtId="167" fontId="5" fillId="32" borderId="86" xfId="2" applyNumberFormat="1" applyFont="1" applyFill="1" applyBorder="1" applyAlignment="1" applyProtection="1">
      <alignment horizontal="center" vertical="center"/>
    </xf>
    <xf numFmtId="0" fontId="19" fillId="0" borderId="95" xfId="0" applyFont="1" applyBorder="1" applyAlignment="1" applyProtection="1">
      <alignment horizontal="center" vertical="center"/>
      <protection locked="0"/>
    </xf>
    <xf numFmtId="0" fontId="19" fillId="0" borderId="16" xfId="0" applyFont="1" applyBorder="1" applyAlignment="1" applyProtection="1">
      <alignment horizontal="center" vertical="center"/>
      <protection locked="0"/>
    </xf>
    <xf numFmtId="0" fontId="19" fillId="0" borderId="96" xfId="0" applyFont="1" applyBorder="1" applyAlignment="1" applyProtection="1">
      <alignment horizontal="center" vertical="center"/>
      <protection locked="0"/>
    </xf>
    <xf numFmtId="0" fontId="19" fillId="0" borderId="95" xfId="0" applyFont="1" applyBorder="1" applyAlignment="1" applyProtection="1">
      <alignment horizontal="center" vertical="center"/>
    </xf>
    <xf numFmtId="0" fontId="19" fillId="0" borderId="16" xfId="0" applyFont="1" applyBorder="1" applyAlignment="1" applyProtection="1">
      <alignment horizontal="center" vertical="center"/>
    </xf>
    <xf numFmtId="0" fontId="19" fillId="0" borderId="17" xfId="0" applyFont="1" applyBorder="1" applyAlignment="1" applyProtection="1">
      <alignment horizontal="center" vertical="center"/>
    </xf>
    <xf numFmtId="0" fontId="5" fillId="0" borderId="81" xfId="0" applyFont="1" applyFill="1" applyBorder="1" applyAlignment="1" applyProtection="1">
      <alignment horizontal="center" vertical="center"/>
    </xf>
    <xf numFmtId="0" fontId="5" fillId="0" borderId="85" xfId="0" applyFont="1" applyFill="1" applyBorder="1" applyAlignment="1" applyProtection="1">
      <alignment horizontal="center" vertical="center"/>
    </xf>
    <xf numFmtId="2" fontId="5" fillId="0" borderId="81" xfId="3" applyNumberFormat="1" applyFont="1" applyFill="1" applyBorder="1" applyAlignment="1" applyProtection="1">
      <alignment horizontal="center" vertical="center"/>
    </xf>
    <xf numFmtId="2" fontId="5" fillId="0" borderId="82" xfId="3" applyNumberFormat="1" applyFont="1" applyFill="1" applyBorder="1" applyAlignment="1" applyProtection="1">
      <alignment horizontal="center" vertical="center"/>
    </xf>
    <xf numFmtId="0" fontId="5" fillId="33" borderId="76" xfId="0" applyFont="1" applyFill="1" applyBorder="1" applyAlignment="1" applyProtection="1">
      <alignment horizontal="center" vertical="center"/>
    </xf>
    <xf numFmtId="0" fontId="5" fillId="33" borderId="74" xfId="0" applyFont="1" applyFill="1" applyBorder="1" applyAlignment="1" applyProtection="1">
      <alignment horizontal="center" vertical="center"/>
    </xf>
    <xf numFmtId="0" fontId="9" fillId="0" borderId="44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40" fillId="0" borderId="44" xfId="0" applyFont="1" applyBorder="1" applyAlignment="1">
      <alignment horizontal="left" vertical="top" wrapText="1"/>
    </xf>
    <xf numFmtId="0" fontId="40" fillId="0" borderId="0" xfId="0" applyFont="1" applyAlignment="1">
      <alignment horizontal="left" vertical="top" wrapText="1"/>
    </xf>
    <xf numFmtId="0" fontId="40" fillId="0" borderId="49" xfId="0" applyFont="1" applyBorder="1" applyAlignment="1">
      <alignment horizontal="left" vertical="top" wrapText="1"/>
    </xf>
    <xf numFmtId="0" fontId="40" fillId="0" borderId="51" xfId="0" applyFont="1" applyBorder="1" applyAlignment="1">
      <alignment horizontal="left" vertical="top" wrapText="1"/>
    </xf>
    <xf numFmtId="0" fontId="40" fillId="0" borderId="52" xfId="0" applyFont="1" applyBorder="1" applyAlignment="1">
      <alignment horizontal="left" vertical="top" wrapText="1"/>
    </xf>
    <xf numFmtId="0" fontId="40" fillId="0" borderId="53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right"/>
    </xf>
    <xf numFmtId="0" fontId="9" fillId="0" borderId="52" xfId="0" applyFont="1" applyBorder="1" applyAlignment="1">
      <alignment horizontal="right"/>
    </xf>
    <xf numFmtId="0" fontId="3" fillId="17" borderId="0" xfId="0" applyFont="1" applyFill="1" applyAlignment="1" applyProtection="1">
      <alignment horizontal="left"/>
      <protection locked="0"/>
    </xf>
    <xf numFmtId="0" fontId="9" fillId="16" borderId="10" xfId="0" applyFont="1" applyFill="1" applyBorder="1" applyAlignment="1">
      <alignment horizontal="center" vertical="center" wrapText="1"/>
    </xf>
    <xf numFmtId="0" fontId="9" fillId="16" borderId="67" xfId="0" applyFont="1" applyFill="1" applyBorder="1" applyAlignment="1">
      <alignment horizontal="center" vertical="center"/>
    </xf>
    <xf numFmtId="0" fontId="9" fillId="16" borderId="68" xfId="0" applyFont="1" applyFill="1" applyBorder="1" applyAlignment="1">
      <alignment horizontal="center" vertical="center"/>
    </xf>
    <xf numFmtId="0" fontId="9" fillId="16" borderId="105" xfId="0" applyFont="1" applyFill="1" applyBorder="1" applyAlignment="1">
      <alignment horizontal="center" vertical="center"/>
    </xf>
    <xf numFmtId="0" fontId="9" fillId="16" borderId="106" xfId="0" applyFont="1" applyFill="1" applyBorder="1" applyAlignment="1">
      <alignment horizontal="center" vertical="center"/>
    </xf>
    <xf numFmtId="0" fontId="9" fillId="16" borderId="10" xfId="0" applyFont="1" applyFill="1" applyBorder="1" applyAlignment="1">
      <alignment horizontal="center" vertical="center"/>
    </xf>
    <xf numFmtId="0" fontId="9" fillId="16" borderId="32" xfId="0" applyFont="1" applyFill="1" applyBorder="1" applyAlignment="1">
      <alignment horizontal="center" vertical="center" wrapText="1"/>
    </xf>
    <xf numFmtId="0" fontId="22" fillId="16" borderId="10" xfId="0" applyFont="1" applyFill="1" applyBorder="1" applyAlignment="1">
      <alignment horizontal="center" vertical="center"/>
    </xf>
    <xf numFmtId="0" fontId="9" fillId="0" borderId="42" xfId="0" applyFont="1" applyBorder="1" applyAlignment="1">
      <alignment horizontal="right"/>
    </xf>
    <xf numFmtId="0" fontId="9" fillId="0" borderId="21" xfId="0" applyFont="1" applyBorder="1" applyAlignment="1">
      <alignment horizontal="right"/>
    </xf>
    <xf numFmtId="0" fontId="39" fillId="0" borderId="16" xfId="0" applyFont="1" applyBorder="1" applyAlignment="1">
      <alignment horizontal="left"/>
    </xf>
    <xf numFmtId="0" fontId="39" fillId="0" borderId="17" xfId="0" applyFont="1" applyBorder="1" applyAlignment="1">
      <alignment horizontal="left"/>
    </xf>
    <xf numFmtId="0" fontId="9" fillId="0" borderId="42" xfId="0" applyFont="1" applyBorder="1" applyAlignment="1">
      <alignment horizontal="left"/>
    </xf>
    <xf numFmtId="0" fontId="9" fillId="0" borderId="21" xfId="0" applyFont="1" applyBorder="1" applyAlignment="1">
      <alignment horizontal="left"/>
    </xf>
    <xf numFmtId="0" fontId="9" fillId="0" borderId="43" xfId="0" applyFont="1" applyBorder="1" applyAlignment="1">
      <alignment horizontal="left"/>
    </xf>
    <xf numFmtId="0" fontId="9" fillId="16" borderId="103" xfId="0" applyFont="1" applyFill="1" applyBorder="1" applyAlignment="1">
      <alignment horizontal="center" vertical="center"/>
    </xf>
    <xf numFmtId="0" fontId="9" fillId="16" borderId="104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23" xfId="0" applyFont="1" applyBorder="1" applyAlignment="1">
      <alignment horizontal="left" vertical="top"/>
    </xf>
    <xf numFmtId="0" fontId="3" fillId="0" borderId="24" xfId="0" applyFont="1" applyBorder="1" applyAlignment="1">
      <alignment horizontal="left" vertical="top"/>
    </xf>
    <xf numFmtId="0" fontId="3" fillId="0" borderId="25" xfId="0" applyFont="1" applyBorder="1" applyAlignment="1">
      <alignment horizontal="left" vertical="top"/>
    </xf>
    <xf numFmtId="165" fontId="3" fillId="0" borderId="10" xfId="1" applyFont="1" applyFill="1" applyBorder="1" applyAlignment="1" applyProtection="1">
      <alignment horizontal="center"/>
    </xf>
    <xf numFmtId="0" fontId="3" fillId="0" borderId="23" xfId="0" applyFont="1" applyBorder="1" applyAlignment="1">
      <alignment horizontal="left" vertical="top" wrapText="1"/>
    </xf>
    <xf numFmtId="0" fontId="43" fillId="22" borderId="10" xfId="0" applyFont="1" applyFill="1" applyBorder="1" applyAlignment="1">
      <alignment horizontal="center" vertical="center"/>
    </xf>
    <xf numFmtId="0" fontId="43" fillId="25" borderId="10" xfId="0" applyFont="1" applyFill="1" applyBorder="1" applyAlignment="1">
      <alignment horizontal="center" vertical="center"/>
    </xf>
    <xf numFmtId="0" fontId="43" fillId="26" borderId="10" xfId="0" applyFont="1" applyFill="1" applyBorder="1" applyAlignment="1">
      <alignment horizontal="center" vertical="center"/>
    </xf>
    <xf numFmtId="0" fontId="52" fillId="0" borderId="67" xfId="8" applyFont="1" applyBorder="1" applyAlignment="1">
      <alignment horizontal="center" vertical="center"/>
    </xf>
    <xf numFmtId="0" fontId="52" fillId="0" borderId="68" xfId="8" applyFont="1" applyBorder="1" applyAlignment="1">
      <alignment horizontal="center" vertical="center"/>
    </xf>
    <xf numFmtId="0" fontId="52" fillId="0" borderId="110" xfId="8" applyFont="1" applyBorder="1" applyAlignment="1">
      <alignment horizontal="center" vertical="center"/>
    </xf>
    <xf numFmtId="0" fontId="52" fillId="0" borderId="84" xfId="8" applyFont="1" applyBorder="1" applyAlignment="1">
      <alignment horizontal="center" vertical="center"/>
    </xf>
    <xf numFmtId="0" fontId="52" fillId="0" borderId="27" xfId="8" applyFont="1" applyBorder="1" applyAlignment="1">
      <alignment horizontal="center" vertical="center"/>
    </xf>
    <xf numFmtId="0" fontId="52" fillId="0" borderId="59" xfId="8" applyFont="1" applyBorder="1" applyAlignment="1">
      <alignment horizontal="center" vertical="center"/>
    </xf>
    <xf numFmtId="0" fontId="43" fillId="21" borderId="10" xfId="0" applyFont="1" applyFill="1" applyBorder="1" applyAlignment="1">
      <alignment horizontal="center" vertical="center"/>
    </xf>
    <xf numFmtId="0" fontId="43" fillId="23" borderId="10" xfId="0" applyFont="1" applyFill="1" applyBorder="1" applyAlignment="1">
      <alignment horizontal="center" vertical="center"/>
    </xf>
    <xf numFmtId="0" fontId="43" fillId="24" borderId="10" xfId="0" applyFont="1" applyFill="1" applyBorder="1" applyAlignment="1">
      <alignment horizontal="center" vertical="center"/>
    </xf>
    <xf numFmtId="10" fontId="43" fillId="13" borderId="47" xfId="0" applyNumberFormat="1" applyFont="1" applyFill="1" applyBorder="1" applyAlignment="1">
      <alignment horizontal="center" vertical="center"/>
    </xf>
    <xf numFmtId="40" fontId="43" fillId="13" borderId="47" xfId="0" applyNumberFormat="1" applyFont="1" applyFill="1" applyBorder="1" applyAlignment="1">
      <alignment horizontal="center" vertical="center"/>
    </xf>
    <xf numFmtId="0" fontId="43" fillId="18" borderId="47" xfId="0" applyFont="1" applyFill="1" applyBorder="1" applyAlignment="1">
      <alignment horizontal="center" vertical="center"/>
    </xf>
    <xf numFmtId="0" fontId="43" fillId="18" borderId="47" xfId="0" applyFont="1" applyFill="1" applyBorder="1" applyAlignment="1">
      <alignment horizontal="center" vertical="center" wrapText="1"/>
    </xf>
    <xf numFmtId="0" fontId="44" fillId="19" borderId="47" xfId="0" applyFont="1" applyFill="1" applyBorder="1" applyAlignment="1">
      <alignment horizontal="center" vertical="center" wrapText="1"/>
    </xf>
    <xf numFmtId="0" fontId="45" fillId="19" borderId="47" xfId="0" applyFont="1" applyFill="1" applyBorder="1" applyAlignment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1" fillId="12" borderId="99" xfId="0" applyFont="1" applyFill="1" applyBorder="1" applyAlignment="1">
      <alignment horizontal="center" vertical="center" wrapText="1" readingOrder="1"/>
    </xf>
    <xf numFmtId="0" fontId="31" fillId="12" borderId="100" xfId="0" applyFont="1" applyFill="1" applyBorder="1" applyAlignment="1">
      <alignment horizontal="center" vertical="center" wrapText="1" readingOrder="1"/>
    </xf>
    <xf numFmtId="14" fontId="10" fillId="13" borderId="79" xfId="0" applyNumberFormat="1" applyFont="1" applyFill="1" applyBorder="1" applyAlignment="1">
      <alignment horizontal="center" vertical="center" wrapText="1" readingOrder="1"/>
    </xf>
    <xf numFmtId="14" fontId="10" fillId="13" borderId="101" xfId="0" applyNumberFormat="1" applyFont="1" applyFill="1" applyBorder="1" applyAlignment="1">
      <alignment horizontal="center" vertical="center" wrapText="1" readingOrder="1"/>
    </xf>
    <xf numFmtId="14" fontId="10" fillId="13" borderId="102" xfId="0" applyNumberFormat="1" applyFont="1" applyFill="1" applyBorder="1" applyAlignment="1">
      <alignment horizontal="center" vertical="center" wrapText="1" readingOrder="1"/>
    </xf>
  </cellXfs>
  <cellStyles count="19">
    <cellStyle name="Moeda" xfId="2" builtinId="4"/>
    <cellStyle name="Moeda 2" xfId="6" xr:uid="{00000000-0005-0000-0000-000001000000}"/>
    <cellStyle name="Moeda 3" xfId="11" xr:uid="{BDEFA2FD-A6B7-4605-9C4A-F52F74DA65BE}"/>
    <cellStyle name="Normal" xfId="0" builtinId="0"/>
    <cellStyle name="Normal 11" xfId="13" xr:uid="{A299D371-4511-4717-89C2-5A50FAA4D3D0}"/>
    <cellStyle name="Normal 2" xfId="4" xr:uid="{00000000-0005-0000-0000-000003000000}"/>
    <cellStyle name="Normal 2 2" xfId="8" xr:uid="{35B571C8-E13D-432A-B8F3-EFEDC646FE66}"/>
    <cellStyle name="Normal 2 2 2" xfId="14" xr:uid="{1BDA6F5D-54EE-447E-BCCF-3B9C46481F6D}"/>
    <cellStyle name="Normal 3" xfId="5" xr:uid="{00000000-0005-0000-0000-000004000000}"/>
    <cellStyle name="Normal 3 2 12 2 5 4 6 2 3 2" xfId="10" xr:uid="{B7B437E3-E5CA-4FC9-8C95-A6B45301D24D}"/>
    <cellStyle name="Normal 4" xfId="15" xr:uid="{02FB4F0E-739F-4B42-8B89-E0D0C8A4D15E}"/>
    <cellStyle name="Normal 4 2" xfId="16" xr:uid="{FB02609C-D0C5-4362-840C-7CA1DB26F5F7}"/>
    <cellStyle name="Normal 7" xfId="17" xr:uid="{CC507777-E679-41B2-8F59-032EE2812B61}"/>
    <cellStyle name="Normal 8" xfId="18" xr:uid="{468AF60E-4847-4F1E-AB52-71E702428CF5}"/>
    <cellStyle name="Porcentagem" xfId="3" builtinId="5"/>
    <cellStyle name="Porcentagem 2" xfId="12" xr:uid="{A1204598-E37A-40DE-A8A2-0A2002B1A0AF}"/>
    <cellStyle name="Vírgula" xfId="1" builtinId="3"/>
    <cellStyle name="Vírgula 2" xfId="9" xr:uid="{B66C29CB-CF48-4D04-82E7-D03E0DA176F3}"/>
    <cellStyle name="Vírgula 3" xfId="7" xr:uid="{F1364940-D9DB-44E1-8BC8-3D3E97E103B5}"/>
  </cellStyles>
  <dxfs count="25">
    <dxf>
      <fill>
        <patternFill>
          <bgColor rgb="FFE6DFB8"/>
        </patternFill>
      </fill>
    </dxf>
    <dxf>
      <fill>
        <patternFill>
          <bgColor rgb="FFE6DFB8"/>
        </patternFill>
      </fill>
    </dxf>
    <dxf>
      <fill>
        <patternFill>
          <bgColor rgb="FFE6DFB8"/>
        </patternFill>
      </fill>
    </dxf>
    <dxf>
      <fill>
        <patternFill>
          <bgColor rgb="FFE6DFB8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  <dxf>
      <font>
        <color indexed="27"/>
        <name val="Cambria"/>
        <scheme val="none"/>
      </font>
      <fill>
        <patternFill>
          <bgColor indexed="27"/>
        </patternFill>
      </fill>
    </dxf>
    <dxf>
      <font>
        <color indexed="27"/>
        <name val="Cambria"/>
        <scheme val="none"/>
      </font>
      <fill>
        <patternFill>
          <bgColor indexed="27"/>
        </patternFill>
      </fill>
    </dxf>
    <dxf>
      <font>
        <color indexed="27"/>
        <name val="Cambria"/>
        <scheme val="none"/>
      </font>
      <fill>
        <patternFill>
          <bgColor indexed="27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indexed="27"/>
        <name val="Cambria"/>
        <scheme val="none"/>
      </font>
      <fill>
        <patternFill>
          <bgColor indexed="27"/>
        </patternFill>
      </fill>
    </dxf>
    <dxf>
      <font>
        <color indexed="27"/>
        <name val="Cambria"/>
        <scheme val="none"/>
      </font>
      <fill>
        <patternFill>
          <bgColor indexed="27"/>
        </patternFill>
      </fill>
    </dxf>
    <dxf>
      <font>
        <color indexed="27"/>
        <name val="Cambria"/>
        <scheme val="none"/>
      </font>
      <fill>
        <patternFill>
          <bgColor indexed="27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</dxfs>
  <tableStyles count="0" defaultTableStyle="TableStyleMedium2" defaultPivotStyle="PivotStyleLight16"/>
  <colors>
    <mruColors>
      <color rgb="FFFFFFCC"/>
      <color rgb="FF6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955137</xdr:colOff>
      <xdr:row>31</xdr:row>
      <xdr:rowOff>207320</xdr:rowOff>
    </xdr:from>
    <xdr:to>
      <xdr:col>9</xdr:col>
      <xdr:colOff>920721</xdr:colOff>
      <xdr:row>34</xdr:row>
      <xdr:rowOff>84558</xdr:rowOff>
    </xdr:to>
    <xdr:sp macro="" textlink="">
      <xdr:nvSpPr>
        <xdr:cNvPr id="2" name="Text Box 214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5463260" y="7574736"/>
          <a:ext cx="1587789" cy="206693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APROVADOR SUP: </a:t>
          </a:r>
        </a:p>
      </xdr:txBody>
    </xdr:sp>
    <xdr:clientData/>
  </xdr:twoCellAnchor>
  <xdr:twoCellAnchor editAs="absolute">
    <xdr:from>
      <xdr:col>8</xdr:col>
      <xdr:colOff>955137</xdr:colOff>
      <xdr:row>30</xdr:row>
      <xdr:rowOff>146421</xdr:rowOff>
    </xdr:from>
    <xdr:to>
      <xdr:col>9</xdr:col>
      <xdr:colOff>920721</xdr:colOff>
      <xdr:row>31</xdr:row>
      <xdr:rowOff>123152</xdr:rowOff>
    </xdr:to>
    <xdr:sp macro="" textlink="">
      <xdr:nvSpPr>
        <xdr:cNvPr id="3" name="Text Box 215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5463260" y="7304067"/>
          <a:ext cx="1587789" cy="194469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GERÊNCIA SUP: </a:t>
          </a:r>
        </a:p>
      </xdr:txBody>
    </xdr:sp>
    <xdr:clientData/>
  </xdr:twoCellAnchor>
  <xdr:twoCellAnchor editAs="absolute">
    <xdr:from>
      <xdr:col>8</xdr:col>
      <xdr:colOff>955137</xdr:colOff>
      <xdr:row>35</xdr:row>
      <xdr:rowOff>178863</xdr:rowOff>
    </xdr:from>
    <xdr:to>
      <xdr:col>9</xdr:col>
      <xdr:colOff>920721</xdr:colOff>
      <xdr:row>37</xdr:row>
      <xdr:rowOff>15422</xdr:rowOff>
    </xdr:to>
    <xdr:sp macro="" textlink="">
      <xdr:nvSpPr>
        <xdr:cNvPr id="4" name="Text Box 220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5463260" y="8086704"/>
          <a:ext cx="1587789" cy="225714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SOLICITANTE CLIENTE: </a:t>
          </a:r>
        </a:p>
      </xdr:txBody>
    </xdr:sp>
    <xdr:clientData/>
  </xdr:twoCellAnchor>
  <xdr:twoCellAnchor editAs="absolute">
    <xdr:from>
      <xdr:col>8</xdr:col>
      <xdr:colOff>955137</xdr:colOff>
      <xdr:row>34</xdr:row>
      <xdr:rowOff>149323</xdr:rowOff>
    </xdr:from>
    <xdr:to>
      <xdr:col>9</xdr:col>
      <xdr:colOff>920814</xdr:colOff>
      <xdr:row>35</xdr:row>
      <xdr:rowOff>116907</xdr:rowOff>
    </xdr:to>
    <xdr:sp macro="" textlink="">
      <xdr:nvSpPr>
        <xdr:cNvPr id="5" name="Text Box 221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463260" y="7831911"/>
          <a:ext cx="1587882" cy="206693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GERÊNCIA CLIENTE: </a:t>
          </a:r>
        </a:p>
      </xdr:txBody>
    </xdr:sp>
    <xdr:clientData/>
  </xdr:twoCellAnchor>
  <xdr:twoCellAnchor editAs="absolute">
    <xdr:from>
      <xdr:col>8</xdr:col>
      <xdr:colOff>1385091</xdr:colOff>
      <xdr:row>34</xdr:row>
      <xdr:rowOff>191228</xdr:rowOff>
    </xdr:from>
    <xdr:to>
      <xdr:col>10</xdr:col>
      <xdr:colOff>587107</xdr:colOff>
      <xdr:row>35</xdr:row>
      <xdr:rowOff>217392</xdr:rowOff>
    </xdr:to>
    <xdr:sp macro="" textlink="">
      <xdr:nvSpPr>
        <xdr:cNvPr id="6" name="Text Box 249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5834383" y="7881651"/>
          <a:ext cx="2653516" cy="242477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marL="0" marR="0" indent="0" algn="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pt-BR" sz="1000" b="0" i="0">
              <a:effectLst/>
              <a:latin typeface="+mn-lt"/>
              <a:ea typeface="+mn-ea"/>
              <a:cs typeface="+mn-cs"/>
            </a:rPr>
            <a:t>JUSTIFICAR NO  CAMPO "PONTOS DE ATENÇÃO"</a:t>
          </a:r>
          <a:endParaRPr lang="pt-BR">
            <a:effectLst/>
          </a:endParaRPr>
        </a:p>
        <a:p>
          <a:pPr algn="r" rtl="1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 editAs="absolute">
    <xdr:from>
      <xdr:col>9</xdr:col>
      <xdr:colOff>948714</xdr:colOff>
      <xdr:row>30</xdr:row>
      <xdr:rowOff>133645</xdr:rowOff>
    </xdr:from>
    <xdr:to>
      <xdr:col>12</xdr:col>
      <xdr:colOff>438962</xdr:colOff>
      <xdr:row>31</xdr:row>
      <xdr:rowOff>111745</xdr:rowOff>
    </xdr:to>
    <xdr:sp macro="" textlink="" fLocksText="0">
      <xdr:nvSpPr>
        <xdr:cNvPr id="8" name="Text Box 269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7079042" y="7288646"/>
          <a:ext cx="2333962" cy="1980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948714</xdr:colOff>
      <xdr:row>31</xdr:row>
      <xdr:rowOff>204599</xdr:rowOff>
    </xdr:from>
    <xdr:to>
      <xdr:col>12</xdr:col>
      <xdr:colOff>438962</xdr:colOff>
      <xdr:row>34</xdr:row>
      <xdr:rowOff>55360</xdr:rowOff>
    </xdr:to>
    <xdr:sp macro="" textlink="" fLocksText="0">
      <xdr:nvSpPr>
        <xdr:cNvPr id="9" name="Text Box 270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7079042" y="7572015"/>
          <a:ext cx="2333962" cy="187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948714</xdr:colOff>
      <xdr:row>34</xdr:row>
      <xdr:rowOff>146602</xdr:rowOff>
    </xdr:from>
    <xdr:to>
      <xdr:col>12</xdr:col>
      <xdr:colOff>438962</xdr:colOff>
      <xdr:row>35</xdr:row>
      <xdr:rowOff>120483</xdr:rowOff>
    </xdr:to>
    <xdr:sp macro="" textlink="" fLocksText="0">
      <xdr:nvSpPr>
        <xdr:cNvPr id="10" name="Text Box 271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7079042" y="7829190"/>
          <a:ext cx="2333962" cy="2129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948714</xdr:colOff>
      <xdr:row>35</xdr:row>
      <xdr:rowOff>188889</xdr:rowOff>
    </xdr:from>
    <xdr:to>
      <xdr:col>12</xdr:col>
      <xdr:colOff>438962</xdr:colOff>
      <xdr:row>36</xdr:row>
      <xdr:rowOff>145119</xdr:rowOff>
    </xdr:to>
    <xdr:sp macro="" textlink="" fLocksText="0">
      <xdr:nvSpPr>
        <xdr:cNvPr id="11" name="Text Box 272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7079042" y="8099858"/>
          <a:ext cx="2333962" cy="187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181491</xdr:colOff>
      <xdr:row>0</xdr:row>
      <xdr:rowOff>26979</xdr:rowOff>
    </xdr:from>
    <xdr:to>
      <xdr:col>2</xdr:col>
      <xdr:colOff>891225</xdr:colOff>
      <xdr:row>0</xdr:row>
      <xdr:rowOff>523874</xdr:rowOff>
    </xdr:to>
    <xdr:pic>
      <xdr:nvPicPr>
        <xdr:cNvPr id="12" name="Imagem 87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305" y="26979"/>
          <a:ext cx="964472" cy="49689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439890</xdr:colOff>
      <xdr:row>23</xdr:row>
      <xdr:rowOff>41587</xdr:rowOff>
    </xdr:from>
    <xdr:to>
      <xdr:col>5</xdr:col>
      <xdr:colOff>416456</xdr:colOff>
      <xdr:row>23</xdr:row>
      <xdr:rowOff>267007</xdr:rowOff>
    </xdr:to>
    <xdr:sp macro="" textlink="">
      <xdr:nvSpPr>
        <xdr:cNvPr id="2" name="Text Box 214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5489037" y="7579670"/>
          <a:ext cx="1632459" cy="220138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APROVADOR SUP: </a:t>
          </a:r>
        </a:p>
      </xdr:txBody>
    </xdr:sp>
    <xdr:clientData/>
  </xdr:twoCellAnchor>
  <xdr:twoCellAnchor editAs="absolute">
    <xdr:from>
      <xdr:col>4</xdr:col>
      <xdr:colOff>439890</xdr:colOff>
      <xdr:row>22</xdr:row>
      <xdr:rowOff>1675951</xdr:rowOff>
    </xdr:from>
    <xdr:to>
      <xdr:col>5</xdr:col>
      <xdr:colOff>416456</xdr:colOff>
      <xdr:row>22</xdr:row>
      <xdr:rowOff>1886549</xdr:rowOff>
    </xdr:to>
    <xdr:sp macro="" textlink="">
      <xdr:nvSpPr>
        <xdr:cNvPr id="3" name="Text Box 215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5489037" y="7309221"/>
          <a:ext cx="1632459" cy="186281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GERÊNCIA SUP: </a:t>
          </a:r>
        </a:p>
      </xdr:txBody>
    </xdr:sp>
    <xdr:clientData/>
  </xdr:twoCellAnchor>
  <xdr:twoCellAnchor editAs="absolute">
    <xdr:from>
      <xdr:col>4</xdr:col>
      <xdr:colOff>439890</xdr:colOff>
      <xdr:row>23</xdr:row>
      <xdr:rowOff>568421</xdr:rowOff>
    </xdr:from>
    <xdr:to>
      <xdr:col>5</xdr:col>
      <xdr:colOff>416456</xdr:colOff>
      <xdr:row>23</xdr:row>
      <xdr:rowOff>783879</xdr:rowOff>
    </xdr:to>
    <xdr:sp macro="" textlink="">
      <xdr:nvSpPr>
        <xdr:cNvPr id="4" name="Text Box 220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5489037" y="8094138"/>
          <a:ext cx="1632459" cy="217559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SOLICITANTE CLIENTE: </a:t>
          </a:r>
        </a:p>
      </xdr:txBody>
    </xdr:sp>
    <xdr:clientData/>
  </xdr:twoCellAnchor>
  <xdr:twoCellAnchor editAs="absolute">
    <xdr:from>
      <xdr:col>4</xdr:col>
      <xdr:colOff>439890</xdr:colOff>
      <xdr:row>23</xdr:row>
      <xdr:rowOff>326057</xdr:rowOff>
    </xdr:from>
    <xdr:to>
      <xdr:col>5</xdr:col>
      <xdr:colOff>416549</xdr:colOff>
      <xdr:row>23</xdr:row>
      <xdr:rowOff>517987</xdr:rowOff>
    </xdr:to>
    <xdr:sp macro="" textlink="">
      <xdr:nvSpPr>
        <xdr:cNvPr id="5" name="Text Box 221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5489037" y="7864573"/>
          <a:ext cx="1632552" cy="167609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GERÊNCIA CLIENTE: </a:t>
          </a:r>
        </a:p>
      </xdr:txBody>
    </xdr:sp>
    <xdr:clientData/>
  </xdr:twoCellAnchor>
  <xdr:twoCellAnchor editAs="absolute">
    <xdr:from>
      <xdr:col>4</xdr:col>
      <xdr:colOff>858414</xdr:colOff>
      <xdr:row>23</xdr:row>
      <xdr:rowOff>380680</xdr:rowOff>
    </xdr:from>
    <xdr:to>
      <xdr:col>6</xdr:col>
      <xdr:colOff>131252</xdr:colOff>
      <xdr:row>23</xdr:row>
      <xdr:rowOff>606950</xdr:rowOff>
    </xdr:to>
    <xdr:sp macro="" textlink="">
      <xdr:nvSpPr>
        <xdr:cNvPr id="6" name="Text Box 249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5918991" y="7906478"/>
          <a:ext cx="2573866" cy="226189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marL="0" marR="0" indent="0" algn="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pt-BR" sz="1000" b="0" i="0">
              <a:effectLst/>
              <a:latin typeface="+mn-lt"/>
              <a:ea typeface="+mn-ea"/>
              <a:cs typeface="+mn-cs"/>
            </a:rPr>
            <a:t>JUSTIFICAR NO  CAMPO "PONTOS DE ATENÇÃO"</a:t>
          </a:r>
          <a:endParaRPr lang="pt-BR">
            <a:effectLst/>
          </a:endParaRPr>
        </a:p>
        <a:p>
          <a:pPr algn="r" rtl="1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 editAs="absolute">
    <xdr:from>
      <xdr:col>5</xdr:col>
      <xdr:colOff>436829</xdr:colOff>
      <xdr:row>22</xdr:row>
      <xdr:rowOff>1672700</xdr:rowOff>
    </xdr:from>
    <xdr:to>
      <xdr:col>6</xdr:col>
      <xdr:colOff>1083413</xdr:colOff>
      <xdr:row>22</xdr:row>
      <xdr:rowOff>1863712</xdr:rowOff>
    </xdr:to>
    <xdr:sp macro="" textlink="" fLocksText="0">
      <xdr:nvSpPr>
        <xdr:cNvPr id="7" name="Text Box 269" hidden="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7149489" y="7296445"/>
          <a:ext cx="2281073" cy="18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436829</xdr:colOff>
      <xdr:row>23</xdr:row>
      <xdr:rowOff>38866</xdr:rowOff>
    </xdr:from>
    <xdr:to>
      <xdr:col>6</xdr:col>
      <xdr:colOff>1083413</xdr:colOff>
      <xdr:row>23</xdr:row>
      <xdr:rowOff>248930</xdr:rowOff>
    </xdr:to>
    <xdr:sp macro="" textlink="" fLocksText="0">
      <xdr:nvSpPr>
        <xdr:cNvPr id="8" name="Text Box 270" hidden="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7149489" y="7576949"/>
          <a:ext cx="2281073" cy="1936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436829</xdr:colOff>
      <xdr:row>23</xdr:row>
      <xdr:rowOff>321431</xdr:rowOff>
    </xdr:from>
    <xdr:to>
      <xdr:col>6</xdr:col>
      <xdr:colOff>1083413</xdr:colOff>
      <xdr:row>23</xdr:row>
      <xdr:rowOff>513943</xdr:rowOff>
    </xdr:to>
    <xdr:sp macro="" textlink="" fLocksText="0">
      <xdr:nvSpPr>
        <xdr:cNvPr id="9" name="Text Box 271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7149489" y="7861852"/>
          <a:ext cx="2281073" cy="1739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436829</xdr:colOff>
      <xdr:row>23</xdr:row>
      <xdr:rowOff>587972</xdr:rowOff>
    </xdr:from>
    <xdr:to>
      <xdr:col>6</xdr:col>
      <xdr:colOff>1083413</xdr:colOff>
      <xdr:row>23</xdr:row>
      <xdr:rowOff>760896</xdr:rowOff>
    </xdr:to>
    <xdr:sp macro="" textlink="" fLocksText="0">
      <xdr:nvSpPr>
        <xdr:cNvPr id="10" name="Text Box 272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7149489" y="8104164"/>
          <a:ext cx="2281073" cy="1848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100853</xdr:colOff>
      <xdr:row>0</xdr:row>
      <xdr:rowOff>100853</xdr:rowOff>
    </xdr:from>
    <xdr:to>
      <xdr:col>1</xdr:col>
      <xdr:colOff>1579804</xdr:colOff>
      <xdr:row>0</xdr:row>
      <xdr:rowOff>439089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912" y="100853"/>
          <a:ext cx="1490381" cy="32299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326571</xdr:colOff>
          <xdr:row>22</xdr:row>
          <xdr:rowOff>1755321</xdr:rowOff>
        </xdr:from>
        <xdr:to>
          <xdr:col>9</xdr:col>
          <xdr:colOff>740773</xdr:colOff>
          <xdr:row>23</xdr:row>
          <xdr:rowOff>2041373</xdr:rowOff>
        </xdr:to>
        <xdr:pic>
          <xdr:nvPicPr>
            <xdr:cNvPr id="17" name="Imagem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esta!$C$4:$O$9" spid="_x0000_s441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081892" y="7375071"/>
              <a:ext cx="12178394" cy="22103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7</xdr:col>
      <xdr:colOff>0</xdr:colOff>
      <xdr:row>3</xdr:row>
      <xdr:rowOff>123825</xdr:rowOff>
    </xdr:to>
    <xdr:pic>
      <xdr:nvPicPr>
        <xdr:cNvPr id="2" name="Picture 10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0"/>
          <a:ext cx="34956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OGO.PEREIRA/Meus%20documentos/VIAPAR/02_2010/10_02_ESTUDOS_PROJETOS_2010/07_OAE_Cont_Mand_Zocco/Entrega_DER/Orcamento/OAE_LE_LD_Est%20495+000-DER_R0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vrdriosa00\DADOS\Downloads\RH%20PADRAO%20-%20LCMFURT%20-%20903980015%20-%20LCMFURT%20-%2023082011-1617(1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RHS_1&#186;%20TAC_CT3175_POYRY_Re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camento"/>
      <sheetName val="fck20MPa_BDI39,25%"/>
      <sheetName val="fck30MPa_BDI39,25%"/>
      <sheetName val="fck20MPa_BDI30,00%"/>
      <sheetName val="fck30MPa_BDI30,00%"/>
    </sheetNames>
    <sheetDataSet>
      <sheetData sheetId="0" refreshError="1"/>
      <sheetData sheetId="1" refreshError="1">
        <row r="47">
          <cell r="L47">
            <v>170.33</v>
          </cell>
        </row>
      </sheetData>
      <sheetData sheetId="2" refreshError="1">
        <row r="47">
          <cell r="L47">
            <v>185.6</v>
          </cell>
        </row>
      </sheetData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Resumo"/>
      <sheetName val="Contratação"/>
      <sheetName val="Aprovação"/>
      <sheetName val="MAC"/>
      <sheetName val="RESUMO "/>
      <sheetName val="Anexo II  Teste Derivativo"/>
      <sheetName val="Anexo IV Formula Parametr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_Processo"/>
      <sheetName val="Dados_Aux"/>
      <sheetName val="Check list Comprador"/>
      <sheetName val="RH ADITIVO"/>
      <sheetName val="Planilha1"/>
      <sheetName val="Planilha2"/>
      <sheetName val="Exportação CT3175"/>
      <sheetName val="TAKE OFF"/>
      <sheetName val="TAKE OFF FINAL"/>
      <sheetName val="Saldo"/>
      <sheetName val="Cesta"/>
      <sheetName val="Indice IPCA"/>
      <sheetName val="Indice FG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E6">
            <v>764.27599999999995</v>
          </cell>
          <cell r="F6">
            <v>977.13300000000004</v>
          </cell>
        </row>
        <row r="7">
          <cell r="F7">
            <v>601.65899999999999</v>
          </cell>
        </row>
      </sheetData>
      <sheetData sheetId="11"/>
      <sheetData sheetId="12">
        <row r="24">
          <cell r="F24">
            <v>585.58699999999999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3">
    <tabColor theme="9" tint="-0.249977111117893"/>
  </sheetPr>
  <dimension ref="A1:AV70"/>
  <sheetViews>
    <sheetView showGridLines="0" topLeftCell="A64" zoomScale="80" zoomScaleNormal="80" zoomScaleSheetLayoutView="37" workbookViewId="0">
      <selection activeCell="E83" sqref="E83"/>
    </sheetView>
  </sheetViews>
  <sheetFormatPr defaultColWidth="0" defaultRowHeight="13.2" x14ac:dyDescent="0.25"/>
  <cols>
    <col min="1" max="1" width="1.6640625" style="2" customWidth="1"/>
    <col min="2" max="2" width="4.6640625" style="2" customWidth="1"/>
    <col min="3" max="3" width="17" style="2" customWidth="1"/>
    <col min="4" max="4" width="8.109375" style="2" customWidth="1"/>
    <col min="5" max="5" width="10.6640625" style="2" customWidth="1"/>
    <col min="6" max="6" width="6.5546875" style="2" customWidth="1"/>
    <col min="7" max="7" width="12.5546875" style="2" customWidth="1"/>
    <col min="8" max="8" width="6.5546875" style="2" customWidth="1"/>
    <col min="9" max="9" width="25" style="2" customWidth="1"/>
    <col min="10" max="10" width="25.5546875" style="2" customWidth="1"/>
    <col min="11" max="11" width="9" style="2" customWidth="1"/>
    <col min="12" max="12" width="7.33203125" style="2" customWidth="1"/>
    <col min="13" max="13" width="7.109375" style="2" customWidth="1"/>
    <col min="14" max="14" width="6" style="2" customWidth="1"/>
    <col min="15" max="15" width="11" style="2" customWidth="1"/>
    <col min="16" max="16" width="18" style="31" customWidth="1"/>
    <col min="17" max="17" width="21.33203125" style="31" customWidth="1"/>
    <col min="18" max="18" width="19.33203125" style="31" customWidth="1"/>
    <col min="19" max="19" width="22.33203125" style="31" customWidth="1"/>
    <col min="20" max="21" width="18.5546875" style="1" customWidth="1"/>
    <col min="22" max="22" width="22.6640625" style="1" customWidth="1"/>
    <col min="23" max="23" width="18.88671875" style="1" customWidth="1"/>
    <col min="24" max="25" width="22.6640625" style="1" customWidth="1"/>
    <col min="26" max="26" width="8.6640625" style="1" customWidth="1"/>
    <col min="27" max="28" width="13.5546875" style="1" customWidth="1"/>
    <col min="29" max="29" width="12.5546875" style="1" customWidth="1"/>
    <col min="30" max="34" width="18.5546875" style="1" customWidth="1"/>
    <col min="35" max="35" width="12.88671875" style="1" customWidth="1"/>
    <col min="36" max="36" width="13.5546875" style="1" customWidth="1"/>
    <col min="37" max="37" width="13.5546875" style="2" customWidth="1"/>
    <col min="38" max="43" width="9.109375" style="2" hidden="1" customWidth="1"/>
    <col min="44" max="48" width="0" style="2" hidden="1" customWidth="1"/>
    <col min="49" max="16384" width="9.109375" style="2" hidden="1"/>
  </cols>
  <sheetData>
    <row r="1" spans="2:43" ht="46.5" customHeight="1" thickBot="1" x14ac:dyDescent="0.3">
      <c r="B1" s="446"/>
      <c r="C1" s="447"/>
      <c r="D1" s="448" t="s">
        <v>0</v>
      </c>
      <c r="E1" s="448"/>
      <c r="F1" s="448"/>
      <c r="G1" s="448"/>
      <c r="H1" s="448"/>
      <c r="I1" s="448"/>
      <c r="J1" s="448"/>
      <c r="K1" s="448"/>
      <c r="L1" s="448"/>
      <c r="M1" s="448"/>
      <c r="N1" s="448"/>
      <c r="O1" s="448"/>
      <c r="P1" s="434" t="s">
        <v>1</v>
      </c>
      <c r="Q1" s="434"/>
      <c r="R1" s="434"/>
      <c r="S1" s="435"/>
    </row>
    <row r="2" spans="2:43" ht="19.5" customHeight="1" x14ac:dyDescent="0.25">
      <c r="B2" s="436" t="s">
        <v>2</v>
      </c>
      <c r="C2" s="437"/>
      <c r="D2" s="438" t="s">
        <v>118</v>
      </c>
      <c r="E2" s="439"/>
      <c r="F2" s="3" t="s">
        <v>3</v>
      </c>
      <c r="G2" s="4"/>
      <c r="H2" s="440" t="s">
        <v>71</v>
      </c>
      <c r="I2" s="441"/>
      <c r="J2" s="3" t="s">
        <v>4</v>
      </c>
      <c r="K2" s="444" t="s">
        <v>69</v>
      </c>
      <c r="L2" s="445"/>
      <c r="M2" s="445"/>
      <c r="N2" s="437"/>
      <c r="O2" s="444" t="s">
        <v>5</v>
      </c>
      <c r="P2" s="437"/>
      <c r="Q2" s="78" t="s">
        <v>6</v>
      </c>
      <c r="R2" s="442" t="s">
        <v>85</v>
      </c>
      <c r="S2" s="443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2:43" s="13" customFormat="1" ht="21.9" customHeight="1" x14ac:dyDescent="0.25">
      <c r="B3" s="449" t="s">
        <v>7</v>
      </c>
      <c r="C3" s="450"/>
      <c r="D3" s="451">
        <v>3312</v>
      </c>
      <c r="E3" s="451"/>
      <c r="F3" s="6" t="s">
        <v>8</v>
      </c>
      <c r="G3" s="7"/>
      <c r="H3" s="464" t="s">
        <v>73</v>
      </c>
      <c r="I3" s="464"/>
      <c r="J3" s="8" t="s">
        <v>70</v>
      </c>
      <c r="K3" s="498" t="s">
        <v>72</v>
      </c>
      <c r="L3" s="500"/>
      <c r="M3" s="500"/>
      <c r="N3" s="499"/>
      <c r="O3" s="498" t="s">
        <v>95</v>
      </c>
      <c r="P3" s="499"/>
      <c r="Q3" s="8" t="s">
        <v>91</v>
      </c>
      <c r="R3" s="496">
        <v>47961644.359999999</v>
      </c>
      <c r="S3" s="497"/>
      <c r="T3" s="9"/>
      <c r="U3" s="10"/>
      <c r="V3" s="10"/>
      <c r="W3" s="11"/>
      <c r="X3" s="10"/>
      <c r="Y3" s="10"/>
      <c r="Z3" s="10"/>
      <c r="AA3" s="10"/>
      <c r="AB3" s="10"/>
      <c r="AC3" s="10"/>
      <c r="AD3" s="12"/>
      <c r="AE3" s="12"/>
      <c r="AF3" s="9"/>
      <c r="AG3" s="9"/>
      <c r="AH3" s="9"/>
      <c r="AI3" s="10"/>
      <c r="AJ3" s="10"/>
    </row>
    <row r="4" spans="2:43" s="13" customFormat="1" ht="20.100000000000001" customHeight="1" x14ac:dyDescent="0.25">
      <c r="B4" s="449" t="s">
        <v>9</v>
      </c>
      <c r="C4" s="450"/>
      <c r="D4" s="501" t="s">
        <v>97</v>
      </c>
      <c r="E4" s="501"/>
      <c r="F4" s="501"/>
      <c r="G4" s="501"/>
      <c r="H4" s="501"/>
      <c r="I4" s="501"/>
      <c r="J4" s="501"/>
      <c r="K4" s="501"/>
      <c r="L4" s="501"/>
      <c r="M4" s="501"/>
      <c r="N4" s="501"/>
      <c r="O4" s="501"/>
      <c r="P4" s="501"/>
      <c r="Q4" s="501"/>
      <c r="R4" s="450" t="s">
        <v>10</v>
      </c>
      <c r="S4" s="465"/>
      <c r="T4" s="9"/>
      <c r="U4" s="10"/>
      <c r="V4" s="10"/>
      <c r="W4" s="11"/>
      <c r="X4" s="10"/>
      <c r="Y4" s="10"/>
      <c r="Z4" s="10"/>
      <c r="AA4" s="10"/>
      <c r="AB4" s="10"/>
      <c r="AC4" s="10"/>
      <c r="AD4" s="12"/>
      <c r="AE4" s="12"/>
      <c r="AF4" s="9"/>
      <c r="AG4" s="9"/>
      <c r="AH4" s="9"/>
      <c r="AI4" s="10"/>
      <c r="AJ4" s="10"/>
      <c r="AP4" s="13" t="str">
        <f>IF(ISERROR(VLOOKUP(#REF!,$AL$2:$AL$34,1,FALSE)),"",VLOOKUP(#REF!,$AL$2:$AL$34,1,FALSE))</f>
        <v/>
      </c>
      <c r="AQ4" s="13" t="str">
        <f>IF(ISERROR(VLOOKUP(#REF!,$AL$2:$AL$34,1,FALSE)),"",VLOOKUP(#REF!,$AL$2:$AL$34,1,FALSE))</f>
        <v/>
      </c>
    </row>
    <row r="5" spans="2:43" s="13" customFormat="1" ht="30" customHeight="1" x14ac:dyDescent="0.25">
      <c r="B5" s="449"/>
      <c r="C5" s="450"/>
      <c r="D5" s="501"/>
      <c r="E5" s="501"/>
      <c r="F5" s="501"/>
      <c r="G5" s="501"/>
      <c r="H5" s="501"/>
      <c r="I5" s="501"/>
      <c r="J5" s="501"/>
      <c r="K5" s="501"/>
      <c r="L5" s="501"/>
      <c r="M5" s="501"/>
      <c r="N5" s="501"/>
      <c r="O5" s="501"/>
      <c r="P5" s="501"/>
      <c r="Q5" s="501"/>
      <c r="R5" s="514" t="s">
        <v>96</v>
      </c>
      <c r="S5" s="515"/>
      <c r="T5" s="9"/>
      <c r="U5" s="10"/>
      <c r="V5" s="10"/>
      <c r="W5" s="11"/>
      <c r="X5" s="10"/>
      <c r="Y5" s="10"/>
      <c r="Z5" s="10"/>
      <c r="AA5" s="10"/>
      <c r="AB5" s="10"/>
      <c r="AC5" s="10"/>
      <c r="AD5" s="12"/>
      <c r="AE5" s="12"/>
      <c r="AF5" s="9"/>
      <c r="AG5" s="9"/>
      <c r="AH5" s="9"/>
      <c r="AI5" s="10"/>
      <c r="AJ5" s="10"/>
    </row>
    <row r="6" spans="2:43" s="13" customFormat="1" ht="25.5" customHeight="1" x14ac:dyDescent="0.25">
      <c r="B6" s="449" t="s">
        <v>11</v>
      </c>
      <c r="C6" s="450"/>
      <c r="D6" s="501" t="s">
        <v>98</v>
      </c>
      <c r="E6" s="501"/>
      <c r="F6" s="501"/>
      <c r="G6" s="501"/>
      <c r="H6" s="501"/>
      <c r="I6" s="501"/>
      <c r="J6" s="501"/>
      <c r="K6" s="501"/>
      <c r="L6" s="501"/>
      <c r="M6" s="501"/>
      <c r="N6" s="501"/>
      <c r="O6" s="501"/>
      <c r="P6" s="501"/>
      <c r="Q6" s="501"/>
      <c r="R6" s="450" t="s">
        <v>12</v>
      </c>
      <c r="S6" s="465"/>
      <c r="T6" s="9"/>
      <c r="U6" s="10"/>
      <c r="V6" s="10"/>
      <c r="W6" s="11"/>
      <c r="X6" s="10"/>
      <c r="Y6" s="10"/>
      <c r="Z6" s="10"/>
      <c r="AA6" s="10"/>
      <c r="AB6" s="10"/>
      <c r="AC6" s="10"/>
      <c r="AD6" s="12"/>
      <c r="AE6" s="12"/>
      <c r="AF6" s="9"/>
      <c r="AG6" s="9"/>
      <c r="AH6" s="9"/>
      <c r="AI6" s="10"/>
      <c r="AJ6" s="10"/>
    </row>
    <row r="7" spans="2:43" s="13" customFormat="1" ht="27" customHeight="1" thickBot="1" x14ac:dyDescent="0.3">
      <c r="B7" s="511"/>
      <c r="C7" s="512"/>
      <c r="D7" s="513"/>
      <c r="E7" s="513"/>
      <c r="F7" s="513"/>
      <c r="G7" s="513"/>
      <c r="H7" s="513"/>
      <c r="I7" s="513"/>
      <c r="J7" s="513"/>
      <c r="K7" s="513"/>
      <c r="L7" s="513"/>
      <c r="M7" s="513"/>
      <c r="N7" s="513"/>
      <c r="O7" s="513"/>
      <c r="P7" s="513"/>
      <c r="Q7" s="513"/>
      <c r="R7" s="466" t="s">
        <v>70</v>
      </c>
      <c r="S7" s="467"/>
      <c r="T7" s="9"/>
      <c r="U7" s="10"/>
      <c r="V7" s="10"/>
      <c r="W7" s="11"/>
      <c r="X7" s="10"/>
      <c r="Y7" s="10"/>
      <c r="Z7" s="10"/>
      <c r="AA7" s="10"/>
      <c r="AB7" s="10"/>
      <c r="AC7" s="10"/>
      <c r="AD7" s="12"/>
      <c r="AE7" s="12"/>
      <c r="AF7" s="9"/>
      <c r="AG7" s="9"/>
      <c r="AH7" s="9"/>
      <c r="AI7" s="10"/>
      <c r="AJ7" s="10"/>
    </row>
    <row r="8" spans="2:43" ht="16.5" customHeight="1" thickBot="1" x14ac:dyDescent="0.3">
      <c r="B8" s="468" t="s">
        <v>13</v>
      </c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69"/>
      <c r="R8" s="469"/>
      <c r="S8" s="470"/>
      <c r="T8" s="5"/>
      <c r="U8" s="5"/>
      <c r="V8" s="5"/>
      <c r="W8" s="5"/>
      <c r="X8" s="14"/>
      <c r="Y8" s="14"/>
      <c r="Z8" s="15"/>
      <c r="AA8" s="15"/>
      <c r="AB8" s="15"/>
      <c r="AC8" s="5"/>
      <c r="AD8" s="5"/>
      <c r="AE8" s="2"/>
      <c r="AF8" s="2"/>
      <c r="AG8" s="2"/>
      <c r="AH8" s="2"/>
      <c r="AI8" s="2"/>
      <c r="AJ8" s="2" t="str">
        <f>IF(ISERROR(VLOOKUP(#REF!,$AF$2:$AF$34,1,FALSE)),"",VLOOKUP(#REF!,$AF$2:$AF$34,1,FALSE))</f>
        <v/>
      </c>
      <c r="AK8" s="2" t="str">
        <f>IF(ISERROR(VLOOKUP(#REF!,$AF$2:$AF$34,1,FALSE)),"",VLOOKUP(#REF!,$AF$2:$AF$34,1,FALSE))</f>
        <v/>
      </c>
    </row>
    <row r="9" spans="2:43" ht="16.5" customHeight="1" x14ac:dyDescent="0.25">
      <c r="B9" s="471" t="s">
        <v>14</v>
      </c>
      <c r="C9" s="472"/>
      <c r="D9" s="472"/>
      <c r="E9" s="472"/>
      <c r="F9" s="472"/>
      <c r="G9" s="472"/>
      <c r="H9" s="472"/>
      <c r="I9" s="16" t="s">
        <v>15</v>
      </c>
      <c r="J9" s="16" t="s">
        <v>16</v>
      </c>
      <c r="K9" s="508" t="s">
        <v>17</v>
      </c>
      <c r="L9" s="509"/>
      <c r="M9" s="509"/>
      <c r="N9" s="510"/>
      <c r="O9" s="508" t="s">
        <v>18</v>
      </c>
      <c r="P9" s="509"/>
      <c r="Q9" s="17" t="s">
        <v>19</v>
      </c>
      <c r="R9" s="17" t="s">
        <v>20</v>
      </c>
      <c r="S9" s="18" t="s">
        <v>21</v>
      </c>
      <c r="T9" s="5"/>
      <c r="U9" s="5"/>
      <c r="V9" s="5"/>
      <c r="W9" s="5"/>
      <c r="X9" s="14"/>
      <c r="Y9" s="14"/>
      <c r="Z9" s="15"/>
      <c r="AA9" s="15"/>
      <c r="AB9" s="15"/>
      <c r="AC9" s="5"/>
      <c r="AD9" s="5"/>
      <c r="AE9" s="2"/>
      <c r="AF9" s="2"/>
      <c r="AG9" s="2"/>
      <c r="AH9" s="2"/>
      <c r="AI9" s="2"/>
      <c r="AJ9" s="2" t="str">
        <f>IF(ISERROR(VLOOKUP(#REF!,$AF$2:$AF$34,1,FALSE)),"",VLOOKUP(#REF!,$AF$2:$AF$34,1,FALSE))</f>
        <v/>
      </c>
    </row>
    <row r="10" spans="2:43" ht="30.9" customHeight="1" x14ac:dyDescent="0.25">
      <c r="B10" s="473" t="s">
        <v>22</v>
      </c>
      <c r="C10" s="474"/>
      <c r="D10" s="474"/>
      <c r="E10" s="474"/>
      <c r="F10" s="474"/>
      <c r="G10" s="474"/>
      <c r="H10" s="474"/>
      <c r="I10" s="80" t="s">
        <v>99</v>
      </c>
      <c r="J10" s="128" t="s">
        <v>112</v>
      </c>
      <c r="K10" s="475" t="s">
        <v>100</v>
      </c>
      <c r="L10" s="476"/>
      <c r="M10" s="476"/>
      <c r="N10" s="477"/>
      <c r="O10" s="475" t="s">
        <v>102</v>
      </c>
      <c r="P10" s="477"/>
      <c r="Q10" s="129" t="s">
        <v>113</v>
      </c>
      <c r="R10" s="129" t="s">
        <v>101</v>
      </c>
      <c r="S10" s="130" t="s">
        <v>108</v>
      </c>
      <c r="T10" s="5"/>
      <c r="U10" s="5"/>
      <c r="V10" s="5"/>
      <c r="W10" s="5"/>
      <c r="X10" s="14"/>
      <c r="Y10" s="14"/>
      <c r="Z10" s="15"/>
      <c r="AA10" s="15"/>
      <c r="AB10" s="15"/>
      <c r="AC10" s="5"/>
      <c r="AD10" s="5"/>
      <c r="AE10" s="2"/>
      <c r="AF10" s="2"/>
      <c r="AG10" s="2"/>
      <c r="AH10" s="2"/>
      <c r="AI10" s="2"/>
      <c r="AJ10" s="2"/>
    </row>
    <row r="11" spans="2:43" ht="25.5" customHeight="1" x14ac:dyDescent="0.25">
      <c r="B11" s="100" t="s">
        <v>76</v>
      </c>
      <c r="C11" s="104"/>
      <c r="D11" s="104"/>
      <c r="E11" s="104"/>
      <c r="F11" s="104"/>
      <c r="G11" s="19"/>
      <c r="H11" s="20"/>
      <c r="I11" s="81">
        <v>52154580.150297813</v>
      </c>
      <c r="J11" s="118">
        <v>65528600.483102724</v>
      </c>
      <c r="K11" s="478">
        <v>105778541.23999999</v>
      </c>
      <c r="L11" s="479"/>
      <c r="M11" s="479"/>
      <c r="N11" s="480"/>
      <c r="O11" s="481">
        <v>113524826.48</v>
      </c>
      <c r="P11" s="482"/>
      <c r="Q11" s="91">
        <v>140515402.25754747</v>
      </c>
      <c r="R11" s="21">
        <v>309721520.11000001</v>
      </c>
      <c r="S11" s="138" t="s">
        <v>109</v>
      </c>
      <c r="T11" s="5"/>
      <c r="U11" s="5"/>
      <c r="V11" s="5"/>
      <c r="W11" s="5"/>
      <c r="X11" s="14"/>
      <c r="Y11" s="14"/>
      <c r="Z11" s="15"/>
      <c r="AA11" s="15"/>
      <c r="AB11" s="15"/>
      <c r="AC11" s="5"/>
      <c r="AD11" s="5"/>
      <c r="AE11" s="2"/>
      <c r="AF11" s="2"/>
      <c r="AG11" s="2"/>
      <c r="AH11" s="2"/>
      <c r="AI11" s="2"/>
      <c r="AJ11" s="2"/>
    </row>
    <row r="12" spans="2:43" ht="15" customHeight="1" x14ac:dyDescent="0.25">
      <c r="B12" s="101" t="s">
        <v>75</v>
      </c>
      <c r="C12" s="85"/>
      <c r="D12" s="85"/>
      <c r="E12" s="85"/>
      <c r="F12" s="85"/>
      <c r="G12" s="22"/>
      <c r="H12" s="23"/>
      <c r="I12" s="82">
        <v>49025305.340000004</v>
      </c>
      <c r="J12" s="121">
        <v>59975281.609999999</v>
      </c>
      <c r="K12" s="502">
        <v>88430792.299999997</v>
      </c>
      <c r="L12" s="503"/>
      <c r="M12" s="503"/>
      <c r="N12" s="504"/>
      <c r="O12" s="502" t="s">
        <v>103</v>
      </c>
      <c r="P12" s="504"/>
      <c r="Q12" s="116">
        <v>127814035.78</v>
      </c>
      <c r="R12" s="24">
        <v>304513492.60000002</v>
      </c>
      <c r="S12" s="25" t="s">
        <v>77</v>
      </c>
      <c r="T12" s="5"/>
      <c r="U12" s="5"/>
      <c r="V12" s="5"/>
      <c r="W12" s="5"/>
      <c r="X12" s="14"/>
      <c r="Y12" s="14"/>
      <c r="Z12" s="15"/>
      <c r="AA12" s="15"/>
      <c r="AB12" s="15"/>
      <c r="AC12" s="5"/>
      <c r="AD12" s="5"/>
      <c r="AE12" s="2"/>
      <c r="AF12" s="2"/>
      <c r="AG12" s="2"/>
      <c r="AH12" s="2"/>
      <c r="AI12" s="2"/>
      <c r="AJ12" s="2"/>
    </row>
    <row r="13" spans="2:43" ht="15" customHeight="1" x14ac:dyDescent="0.25">
      <c r="B13" s="102" t="s">
        <v>74</v>
      </c>
      <c r="C13" s="85"/>
      <c r="D13" s="85"/>
      <c r="E13" s="85"/>
      <c r="F13" s="85"/>
      <c r="G13" s="22"/>
      <c r="H13" s="23"/>
      <c r="I13" s="86">
        <v>44292027.329382375</v>
      </c>
      <c r="J13" s="92">
        <v>58645797.060415909</v>
      </c>
      <c r="K13" s="502">
        <v>73719078.980000004</v>
      </c>
      <c r="L13" s="503"/>
      <c r="M13" s="503"/>
      <c r="N13" s="504"/>
      <c r="O13" s="502" t="s">
        <v>77</v>
      </c>
      <c r="P13" s="504"/>
      <c r="Q13" s="117">
        <v>123900000</v>
      </c>
      <c r="R13" s="26">
        <v>304513492.60000002</v>
      </c>
      <c r="S13" s="27" t="s">
        <v>77</v>
      </c>
      <c r="T13" s="5"/>
      <c r="U13" s="5"/>
      <c r="V13" s="5"/>
      <c r="W13" s="5"/>
      <c r="X13" s="14"/>
      <c r="Y13" s="14"/>
      <c r="Z13" s="15"/>
      <c r="AA13" s="15"/>
      <c r="AB13" s="15"/>
      <c r="AC13" s="5"/>
      <c r="AD13" s="5"/>
      <c r="AE13" s="2"/>
      <c r="AF13" s="2"/>
      <c r="AG13" s="2"/>
      <c r="AH13" s="2"/>
      <c r="AI13" s="2"/>
      <c r="AJ13" s="2"/>
    </row>
    <row r="14" spans="2:43" ht="15" customHeight="1" x14ac:dyDescent="0.25">
      <c r="B14" s="101" t="s">
        <v>81</v>
      </c>
      <c r="C14" s="85"/>
      <c r="D14" s="85"/>
      <c r="E14" s="85"/>
      <c r="F14" s="85"/>
      <c r="G14" s="22"/>
      <c r="H14" s="23"/>
      <c r="I14" s="83">
        <f>I11-I13</f>
        <v>7862552.8209154382</v>
      </c>
      <c r="J14" s="83">
        <f>J11-J13</f>
        <v>6882803.4226868153</v>
      </c>
      <c r="K14" s="505">
        <f>K11-K13</f>
        <v>32059462.25999999</v>
      </c>
      <c r="L14" s="506"/>
      <c r="M14" s="506"/>
      <c r="N14" s="507"/>
      <c r="O14" s="505" t="s">
        <v>77</v>
      </c>
      <c r="P14" s="507"/>
      <c r="Q14" s="83">
        <f>Q11-Q13</f>
        <v>16615402.257547468</v>
      </c>
      <c r="R14" s="83">
        <f>R11-R13</f>
        <v>5208027.5099999905</v>
      </c>
      <c r="S14" s="119" t="s">
        <v>77</v>
      </c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"/>
      <c r="AF14" s="2"/>
      <c r="AG14" s="2"/>
      <c r="AH14" s="2"/>
      <c r="AI14" s="2"/>
      <c r="AJ14" s="2"/>
    </row>
    <row r="15" spans="2:43" ht="15" customHeight="1" x14ac:dyDescent="0.25">
      <c r="B15" s="101" t="s">
        <v>23</v>
      </c>
      <c r="C15" s="85"/>
      <c r="D15" s="85"/>
      <c r="E15" s="85"/>
      <c r="F15" s="85"/>
      <c r="G15" s="22"/>
      <c r="H15" s="23"/>
      <c r="I15" s="94">
        <f>(I13/I11)-1</f>
        <v>-0.15075479082100407</v>
      </c>
      <c r="J15" s="94">
        <f>(J13/J11)-1</f>
        <v>-0.10503510485412582</v>
      </c>
      <c r="K15" s="358">
        <f>(K13/K11)-1</f>
        <v>-0.30308096409895235</v>
      </c>
      <c r="L15" s="359"/>
      <c r="M15" s="359"/>
      <c r="N15" s="360"/>
      <c r="O15" s="358" t="s">
        <v>77</v>
      </c>
      <c r="P15" s="360"/>
      <c r="Q15" s="94">
        <f>(Q13/Q11)-1</f>
        <v>-0.1182461281155035</v>
      </c>
      <c r="R15" s="94">
        <f>(R13/R11)-1</f>
        <v>-1.6815194204620743E-2</v>
      </c>
      <c r="S15" s="120" t="s">
        <v>77</v>
      </c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2:43" s="31" customFormat="1" ht="15" customHeight="1" x14ac:dyDescent="0.25">
      <c r="B16" s="101" t="s">
        <v>24</v>
      </c>
      <c r="C16" s="85"/>
      <c r="D16" s="85"/>
      <c r="E16" s="85"/>
      <c r="F16" s="85"/>
      <c r="G16" s="29"/>
      <c r="H16" s="30"/>
      <c r="I16" s="94">
        <f>IF(ISERROR(IF(I$11="","",IF(I13="","-",IF($R$3=0,"-",(IF(I13&gt;0,I13,I12)/$R$3-1))))),"",IF(I$11="","",IF(I13="","-",IF($R$3=0,"-",(IF(I13&gt;0,I13,I12)/$R$3-1)))))</f>
        <v>-7.6511493289794008E-2</v>
      </c>
      <c r="J16" s="94">
        <f>IF(ISERROR(IF(J$11="","",IF(J13="","-",IF($R$3=0,"-",(IF(J13&gt;0,J13,J12)/$R$3-1))))),"",IF(J$11="","",IF(J13="","-",IF($R$3=0,"-",(IF(J13&gt;0,J13,J12)/$R$3-1)))))</f>
        <v>0.22276452033672323</v>
      </c>
      <c r="K16" s="358">
        <f t="shared" ref="K16:R16" si="0">IF(ISERROR(IF(K$11="","",IF(K13="","-",IF($R$3=0,"-",(IF(K13&gt;0,K13,K12)/$R$3-1))))),"",IF(K$11="","",IF(K13="","-",IF($R$3=0,"-",(IF(K13&gt;0,K13,K12)/$R$3-1)))))</f>
        <v>0.53704235882040985</v>
      </c>
      <c r="L16" s="359" t="str">
        <f t="shared" si="0"/>
        <v/>
      </c>
      <c r="M16" s="359" t="str">
        <f t="shared" si="0"/>
        <v/>
      </c>
      <c r="N16" s="360" t="str">
        <f t="shared" si="0"/>
        <v/>
      </c>
      <c r="O16" s="358" t="s">
        <v>77</v>
      </c>
      <c r="P16" s="360" t="str">
        <f t="shared" si="0"/>
        <v/>
      </c>
      <c r="Q16" s="94">
        <f t="shared" si="0"/>
        <v>1.5833142639982665</v>
      </c>
      <c r="R16" s="94">
        <f t="shared" si="0"/>
        <v>5.3491045118120306</v>
      </c>
      <c r="S16" s="120" t="s">
        <v>77</v>
      </c>
    </row>
    <row r="17" spans="2:36" s="31" customFormat="1" ht="14.1" customHeight="1" x14ac:dyDescent="0.25">
      <c r="B17" s="103" t="s">
        <v>25</v>
      </c>
      <c r="C17" s="85"/>
      <c r="D17" s="85"/>
      <c r="E17" s="85"/>
      <c r="F17" s="85"/>
      <c r="G17" s="29"/>
      <c r="H17" s="30"/>
      <c r="I17" s="94">
        <f>IF(ISERROR(IF(I$11="","",IF(I13="","-",IF(ISERROR((I13-MIN($I$13:$S$13))/MIN($I$13:$S$13)),"-",(I13-MIN($I$13:$S$13))/MIN($I$13:$S$13))))),"",IF(I$11="","",IF(I13="","-",IF(ISERROR((I13-MIN($I$13:$S$13))/MIN($I$13:$S$13)),"-",(I13-MIN($I$13:$S$13))/MIN($I$13:$S$13)))))</f>
        <v>0</v>
      </c>
      <c r="J17" s="94">
        <f>IF(ISERROR(IF(J$11="","",IF(J13="","-",IF(ISERROR((J13-MIN($I$13:$S$13))/MIN($I$13:$S$13)),"-",(J13-MIN($I$13:$S$13))/MIN($I$13:$S$13))))),"",IF(J$11="","",IF(J13="","-",IF(ISERROR((J13-MIN($I$13:$S$13))/MIN($I$13:$S$13)),"-",(J13-MIN($I$13:$S$13))/MIN($I$13:$S$13)))))</f>
        <v>0.32407118383383532</v>
      </c>
      <c r="K17" s="358">
        <f t="shared" ref="K17:N17" si="1">IF(ISERROR(IF(K$11="","",IF(K13="","-",IF(ISERROR((K13-MIN($I$13:$S$13))/MIN($I$13:$S$13)),"-",(K13-MIN($I$13:$S$13))/MIN($I$13:$S$13))))),"",IF(K$11="","",IF(K13="","-",IF(ISERROR((K13-MIN($I$13:$S$13))/MIN($I$13:$S$13)),"-",(K13-MIN($I$13:$S$13))/MIN($I$13:$S$13)))))</f>
        <v>0.66438710135754742</v>
      </c>
      <c r="L17" s="359" t="str">
        <f t="shared" si="1"/>
        <v/>
      </c>
      <c r="M17" s="359" t="str">
        <f t="shared" si="1"/>
        <v/>
      </c>
      <c r="N17" s="360" t="str">
        <f t="shared" si="1"/>
        <v/>
      </c>
      <c r="O17" s="358" t="s">
        <v>77</v>
      </c>
      <c r="P17" s="360"/>
      <c r="Q17" s="94">
        <f>IF(ISERROR(IF(Q$11="","",IF(Q13="","-",IF(ISERROR((Q13-MIN($I$13:$S$13))/MIN($I$13:$S$13)),"-",(Q13-MIN($I$13:$S$13))/MIN($I$13:$S$13))))),"",IF(Q$11="","",IF(Q13="","-",IF(ISERROR((Q13-MIN($I$13:$S$13))/MIN($I$13:$S$13)),"-",(Q13-MIN($I$13:$S$13))/MIN($I$13:$S$13)))))</f>
        <v>1.7973431669452486</v>
      </c>
      <c r="R17" s="94">
        <f>IF(ISERROR(IF(R$11="","",IF(R13="","-",IF(ISERROR((R13-MIN($I$13:$S$13))/MIN($I$13:$S$13)),"-",(R13-MIN($I$13:$S$13))/MIN($I$13:$S$13))))),"",IF(R$11="","",IF(R13="","-",IF(ISERROR((R13-MIN($I$13:$S$13))/MIN($I$13:$S$13)),"-",(R13-MIN($I$13:$S$13))/MIN($I$13:$S$13)))))</f>
        <v>5.8751310554256877</v>
      </c>
      <c r="S17" s="120" t="s">
        <v>77</v>
      </c>
    </row>
    <row r="18" spans="2:36" s="31" customFormat="1" ht="15" hidden="1" customHeight="1" x14ac:dyDescent="0.25">
      <c r="B18" s="103" t="s">
        <v>26</v>
      </c>
      <c r="C18" s="85"/>
      <c r="D18" s="85"/>
      <c r="E18" s="85"/>
      <c r="F18" s="85"/>
      <c r="G18" s="29"/>
      <c r="H18" s="30"/>
      <c r="I18" s="84">
        <v>0.77</v>
      </c>
      <c r="J18" s="127" t="s">
        <v>77</v>
      </c>
      <c r="K18" s="402" t="s">
        <v>77</v>
      </c>
      <c r="L18" s="403"/>
      <c r="M18" s="403"/>
      <c r="N18" s="404"/>
      <c r="O18" s="405" t="s">
        <v>77</v>
      </c>
      <c r="P18" s="404"/>
      <c r="Q18" s="122" t="s">
        <v>77</v>
      </c>
      <c r="R18" s="122" t="s">
        <v>77</v>
      </c>
      <c r="S18" s="131" t="s">
        <v>77</v>
      </c>
      <c r="X18" s="1"/>
      <c r="Y18" s="1"/>
      <c r="Z18" s="1"/>
      <c r="AA18" s="1"/>
      <c r="AB18" s="1"/>
      <c r="AE18" s="1"/>
    </row>
    <row r="19" spans="2:36" s="31" customFormat="1" ht="19.5" customHeight="1" x14ac:dyDescent="0.25">
      <c r="B19" s="132" t="s">
        <v>27</v>
      </c>
      <c r="C19" s="133"/>
      <c r="D19" s="133"/>
      <c r="E19" s="133"/>
      <c r="F19" s="133"/>
      <c r="G19" s="134"/>
      <c r="H19" s="135"/>
      <c r="I19" s="136" t="s">
        <v>80</v>
      </c>
      <c r="J19" s="136" t="s">
        <v>80</v>
      </c>
      <c r="K19" s="399" t="s">
        <v>80</v>
      </c>
      <c r="L19" s="400"/>
      <c r="M19" s="400"/>
      <c r="N19" s="401"/>
      <c r="O19" s="399" t="s">
        <v>77</v>
      </c>
      <c r="P19" s="401"/>
      <c r="Q19" s="136" t="s">
        <v>80</v>
      </c>
      <c r="R19" s="136" t="s">
        <v>80</v>
      </c>
      <c r="S19" s="137" t="s">
        <v>77</v>
      </c>
      <c r="X19" s="1"/>
      <c r="Y19" s="1"/>
      <c r="Z19" s="1"/>
      <c r="AA19" s="1"/>
      <c r="AB19" s="1"/>
      <c r="AE19" s="1"/>
    </row>
    <row r="20" spans="2:36" s="31" customFormat="1" ht="20.25" customHeight="1" thickBot="1" x14ac:dyDescent="0.3">
      <c r="B20" s="408" t="s">
        <v>87</v>
      </c>
      <c r="C20" s="409"/>
      <c r="D20" s="409"/>
      <c r="E20" s="409"/>
      <c r="F20" s="409"/>
      <c r="G20" s="409"/>
      <c r="H20" s="409"/>
      <c r="I20" s="409"/>
      <c r="J20" s="409"/>
      <c r="K20" s="409"/>
      <c r="L20" s="409"/>
      <c r="M20" s="409"/>
      <c r="N20" s="409"/>
      <c r="O20" s="409"/>
      <c r="P20" s="409"/>
      <c r="Q20" s="409"/>
      <c r="R20" s="409"/>
      <c r="S20" s="410"/>
      <c r="X20" s="1"/>
      <c r="Y20" s="1"/>
      <c r="Z20" s="1"/>
      <c r="AA20" s="1"/>
      <c r="AB20" s="1"/>
      <c r="AE20" s="1"/>
    </row>
    <row r="21" spans="2:36" ht="3.75" customHeight="1" thickBot="1" x14ac:dyDescent="0.3">
      <c r="B21" s="123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2:36" ht="12.75" customHeight="1" x14ac:dyDescent="0.25">
      <c r="B22" s="32" t="s">
        <v>28</v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4"/>
      <c r="Q22" s="34"/>
      <c r="R22" s="34"/>
      <c r="S22" s="35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2:36" ht="24.75" customHeight="1" x14ac:dyDescent="0.25">
      <c r="B23" s="36"/>
      <c r="C23" s="37"/>
      <c r="D23" s="38"/>
      <c r="E23" s="37"/>
      <c r="F23" s="37"/>
      <c r="G23" s="424" t="s">
        <v>29</v>
      </c>
      <c r="H23" s="425"/>
      <c r="I23" s="39" t="s">
        <v>30</v>
      </c>
      <c r="J23" s="40" t="s">
        <v>31</v>
      </c>
      <c r="K23" s="37"/>
      <c r="L23" s="37"/>
      <c r="M23" s="37"/>
      <c r="N23" s="37"/>
      <c r="O23" s="37"/>
      <c r="P23" s="41"/>
      <c r="Q23" s="40" t="s">
        <v>29</v>
      </c>
      <c r="R23" s="39" t="s">
        <v>30</v>
      </c>
      <c r="S23" s="42" t="s">
        <v>31</v>
      </c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2:36" ht="15" customHeight="1" x14ac:dyDescent="0.25">
      <c r="B24" s="36"/>
      <c r="C24" s="37"/>
      <c r="D24" s="37"/>
      <c r="E24" s="37"/>
      <c r="F24" s="98" t="s">
        <v>32</v>
      </c>
      <c r="G24" s="456">
        <v>44099</v>
      </c>
      <c r="H24" s="457"/>
      <c r="I24" s="62">
        <v>0</v>
      </c>
      <c r="J24" s="63">
        <v>0</v>
      </c>
      <c r="K24" s="37"/>
      <c r="L24" s="37"/>
      <c r="M24" s="37"/>
      <c r="N24" s="37"/>
      <c r="O24" s="37"/>
      <c r="P24" s="99" t="s">
        <v>33</v>
      </c>
      <c r="Q24" s="141">
        <v>44336</v>
      </c>
      <c r="R24" s="60">
        <f>IF(Q24="N/A",0,Q24-MAX($G$24:$H$27))</f>
        <v>178</v>
      </c>
      <c r="S24" s="64">
        <f>$J$27+SUM($R$24:R24)</f>
        <v>237</v>
      </c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2:36" ht="15" customHeight="1" x14ac:dyDescent="0.25">
      <c r="B25" s="36"/>
      <c r="C25" s="37"/>
      <c r="D25" s="37"/>
      <c r="E25" s="37"/>
      <c r="F25" s="98" t="s">
        <v>34</v>
      </c>
      <c r="G25" s="456">
        <v>44099</v>
      </c>
      <c r="H25" s="457"/>
      <c r="I25" s="62">
        <f>IF(G25="N/A",0,G25-MAX($G$24:H24))</f>
        <v>0</v>
      </c>
      <c r="J25" s="63">
        <f>SUM($I$24:I25)</f>
        <v>0</v>
      </c>
      <c r="K25" s="37"/>
      <c r="L25" s="37"/>
      <c r="M25" s="37"/>
      <c r="N25" s="37"/>
      <c r="O25" s="37"/>
      <c r="P25" s="99" t="s">
        <v>35</v>
      </c>
      <c r="Q25" s="141">
        <v>44364</v>
      </c>
      <c r="R25" s="60">
        <f>IF(Q25="N/A",0,Q25-MAX($G$24:$H$27,$Q$24:Q24))</f>
        <v>28</v>
      </c>
      <c r="S25" s="64">
        <f>$J$27+SUM($R$24:R25)</f>
        <v>265</v>
      </c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2:36" ht="15" customHeight="1" x14ac:dyDescent="0.25">
      <c r="B26" s="36"/>
      <c r="C26" s="37"/>
      <c r="D26" s="37"/>
      <c r="E26" s="37"/>
      <c r="F26" s="98" t="s">
        <v>36</v>
      </c>
      <c r="G26" s="456">
        <v>44123</v>
      </c>
      <c r="H26" s="457"/>
      <c r="I26" s="60">
        <f>IF(G26="N/A",0,G26-MAX($G$24:H25))</f>
        <v>24</v>
      </c>
      <c r="J26" s="61">
        <f>SUM($I$26:I26)</f>
        <v>24</v>
      </c>
      <c r="K26" s="37"/>
      <c r="L26" s="37"/>
      <c r="M26" s="37"/>
      <c r="N26" s="37"/>
      <c r="O26" s="37"/>
      <c r="P26" s="99" t="s">
        <v>37</v>
      </c>
      <c r="Q26" s="141">
        <v>44365</v>
      </c>
      <c r="R26" s="60">
        <f>IF(Q26="N/A",0,Q26-MAX($G$24:$H$27,$Q$24:Q25))</f>
        <v>1</v>
      </c>
      <c r="S26" s="64">
        <f>$J$27+SUM($R$24:R26)</f>
        <v>266</v>
      </c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2:36" ht="15" customHeight="1" x14ac:dyDescent="0.25">
      <c r="B27" s="36"/>
      <c r="C27" s="37"/>
      <c r="D27" s="37"/>
      <c r="E27" s="37"/>
      <c r="F27" s="98" t="s">
        <v>38</v>
      </c>
      <c r="G27" s="456">
        <v>44158</v>
      </c>
      <c r="H27" s="457"/>
      <c r="I27" s="60">
        <f>IF(G27="N/A",0,G27-MAX($G$24:H26))</f>
        <v>35</v>
      </c>
      <c r="J27" s="61">
        <f>SUM($I$26:I27)</f>
        <v>59</v>
      </c>
      <c r="K27" s="37"/>
      <c r="L27" s="37"/>
      <c r="M27" s="37"/>
      <c r="N27" s="37"/>
      <c r="O27" s="37"/>
      <c r="P27" s="99" t="s">
        <v>39</v>
      </c>
      <c r="Q27" s="141">
        <v>44421</v>
      </c>
      <c r="R27" s="60">
        <f>IF(Q27="N/A",0,Q27-MAX($G$24:$H$27,$Q$24:Q26))</f>
        <v>56</v>
      </c>
      <c r="S27" s="64">
        <f>$J$27+SUM($R$24:R27)</f>
        <v>322</v>
      </c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2:36" ht="12" customHeight="1" x14ac:dyDescent="0.25">
      <c r="B28" s="36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41"/>
      <c r="Q28" s="41"/>
      <c r="R28" s="41"/>
      <c r="S28" s="44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2:36" ht="17.25" customHeight="1" x14ac:dyDescent="0.25">
      <c r="B29" s="36"/>
      <c r="C29" s="426" t="s">
        <v>78</v>
      </c>
      <c r="D29" s="426"/>
      <c r="E29" s="426"/>
      <c r="F29" s="426" t="s">
        <v>40</v>
      </c>
      <c r="G29" s="426"/>
      <c r="H29" s="426"/>
      <c r="I29" s="426" t="s">
        <v>41</v>
      </c>
      <c r="J29" s="426"/>
      <c r="K29" s="37"/>
      <c r="L29" s="37"/>
      <c r="M29" s="37"/>
      <c r="N29" s="37"/>
      <c r="O29" s="37"/>
      <c r="P29" s="41"/>
      <c r="Q29" s="45">
        <f>126+30</f>
        <v>156</v>
      </c>
      <c r="R29" s="427" t="str">
        <f>IF(Q27&lt;=Q30,"DENTRO DO PRAZO","FORA DO PRAZO")</f>
        <v>FORA DO PRAZO</v>
      </c>
      <c r="S29" s="428"/>
    </row>
    <row r="30" spans="2:36" ht="26.25" customHeight="1" x14ac:dyDescent="0.25">
      <c r="B30" s="36"/>
      <c r="C30" s="433">
        <f>I13</f>
        <v>44292027.329382375</v>
      </c>
      <c r="D30" s="433"/>
      <c r="E30" s="433"/>
      <c r="F30" s="452">
        <f>R3</f>
        <v>47961644.359999999</v>
      </c>
      <c r="G30" s="452"/>
      <c r="H30" s="452"/>
      <c r="I30" s="105">
        <f>C30-F30</f>
        <v>-3669617.0306176245</v>
      </c>
      <c r="J30" s="108">
        <f>C30/F30-1</f>
        <v>-7.6511493289794008E-2</v>
      </c>
      <c r="K30" s="37"/>
      <c r="L30" s="37"/>
      <c r="M30" s="37"/>
      <c r="N30" s="37"/>
      <c r="O30" s="37"/>
      <c r="P30" s="41"/>
      <c r="Q30" s="43">
        <f>G24+Q29</f>
        <v>44255</v>
      </c>
      <c r="R30" s="453" t="s">
        <v>82</v>
      </c>
      <c r="S30" s="454"/>
    </row>
    <row r="31" spans="2:36" ht="16.5" customHeight="1" x14ac:dyDescent="0.25">
      <c r="B31" s="36"/>
      <c r="C31" s="433"/>
      <c r="D31" s="433"/>
      <c r="E31" s="433"/>
      <c r="F31" s="455" t="s">
        <v>42</v>
      </c>
      <c r="G31" s="455"/>
      <c r="H31" s="455"/>
      <c r="I31" s="426" t="s">
        <v>43</v>
      </c>
      <c r="J31" s="426"/>
      <c r="K31" s="37"/>
      <c r="L31" s="37"/>
      <c r="M31" s="37"/>
      <c r="N31" s="37"/>
      <c r="O31" s="37"/>
      <c r="P31" s="41"/>
      <c r="Q31" s="458" t="s">
        <v>104</v>
      </c>
      <c r="R31" s="459"/>
      <c r="S31" s="460"/>
    </row>
    <row r="32" spans="2:36" ht="16.5" customHeight="1" x14ac:dyDescent="0.25">
      <c r="B32" s="36"/>
      <c r="C32" s="433"/>
      <c r="D32" s="433"/>
      <c r="E32" s="433"/>
      <c r="F32" s="452">
        <f>SMALL(I12:S12,1)</f>
        <v>49025305.340000004</v>
      </c>
      <c r="G32" s="452"/>
      <c r="H32" s="452"/>
      <c r="I32" s="105">
        <f>C30-F32</f>
        <v>-4733278.0106176287</v>
      </c>
      <c r="J32" s="109">
        <f>C30/F32-1</f>
        <v>-9.6547649785991729E-2</v>
      </c>
      <c r="K32" s="37"/>
      <c r="L32" s="37"/>
      <c r="M32" s="37"/>
      <c r="N32" s="37"/>
      <c r="O32" s="37"/>
      <c r="P32" s="41"/>
      <c r="Q32" s="461"/>
      <c r="R32" s="462"/>
      <c r="S32" s="463"/>
    </row>
    <row r="33" spans="2:19" ht="4.5" customHeight="1" thickBot="1" x14ac:dyDescent="0.3">
      <c r="B33" s="46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8"/>
      <c r="Q33" s="48"/>
      <c r="R33" s="48"/>
      <c r="S33" s="49"/>
    </row>
    <row r="34" spans="2:19" ht="6" customHeight="1" thickBot="1" x14ac:dyDescent="0.3"/>
    <row r="35" spans="2:19" ht="15.75" customHeight="1" x14ac:dyDescent="0.25">
      <c r="B35" s="493" t="s">
        <v>44</v>
      </c>
      <c r="C35" s="494"/>
      <c r="D35" s="494"/>
      <c r="E35" s="494"/>
      <c r="F35" s="494"/>
      <c r="G35" s="494"/>
      <c r="H35" s="494"/>
      <c r="I35" s="494"/>
      <c r="J35" s="494"/>
      <c r="K35" s="494"/>
      <c r="L35" s="494"/>
      <c r="M35" s="494"/>
      <c r="N35" s="494"/>
      <c r="O35" s="494"/>
      <c r="P35" s="494"/>
      <c r="Q35" s="494"/>
      <c r="R35" s="494"/>
      <c r="S35" s="495"/>
    </row>
    <row r="36" spans="2:19" ht="18" customHeight="1" x14ac:dyDescent="0.25">
      <c r="B36" s="67" t="s">
        <v>93</v>
      </c>
      <c r="C36" s="41" t="s">
        <v>45</v>
      </c>
      <c r="D36" s="37"/>
      <c r="E36" s="37"/>
      <c r="F36" s="37"/>
      <c r="G36" s="37"/>
      <c r="H36" s="69" t="s">
        <v>46</v>
      </c>
      <c r="I36" s="411"/>
      <c r="J36" s="413"/>
      <c r="K36" s="420"/>
      <c r="L36" s="126" t="s">
        <v>68</v>
      </c>
      <c r="M36" s="41" t="s">
        <v>47</v>
      </c>
      <c r="N36" s="41"/>
      <c r="O36" s="41"/>
      <c r="P36" s="41"/>
      <c r="Q36" s="52" t="s">
        <v>48</v>
      </c>
      <c r="R36" s="372" t="s">
        <v>92</v>
      </c>
      <c r="S36" s="373"/>
    </row>
    <row r="37" spans="2:19" ht="12" customHeight="1" x14ac:dyDescent="0.25">
      <c r="B37" s="51"/>
      <c r="C37" s="41"/>
      <c r="D37" s="37"/>
      <c r="E37" s="37"/>
      <c r="F37" s="37"/>
      <c r="G37" s="37"/>
      <c r="H37" s="70"/>
      <c r="I37" s="414"/>
      <c r="J37" s="416"/>
      <c r="K37" s="420"/>
      <c r="L37" s="56"/>
      <c r="M37" s="41"/>
      <c r="N37" s="41"/>
      <c r="O37" s="41"/>
      <c r="P37" s="41"/>
      <c r="Q37" s="52"/>
      <c r="R37" s="89"/>
      <c r="S37" s="90"/>
    </row>
    <row r="38" spans="2:19" ht="14.25" customHeight="1" x14ac:dyDescent="0.25">
      <c r="B38" s="67" t="s">
        <v>93</v>
      </c>
      <c r="C38" s="41" t="s">
        <v>49</v>
      </c>
      <c r="D38" s="37"/>
      <c r="E38" s="430" t="s">
        <v>92</v>
      </c>
      <c r="F38" s="431"/>
      <c r="G38" s="432"/>
      <c r="H38" s="37"/>
      <c r="I38" s="414"/>
      <c r="J38" s="416"/>
      <c r="K38" s="420"/>
      <c r="L38" s="71"/>
      <c r="M38" s="41"/>
      <c r="N38" s="41"/>
      <c r="O38" s="41"/>
      <c r="P38" s="41"/>
      <c r="Q38" s="55" t="s">
        <v>50</v>
      </c>
      <c r="R38" s="372" t="s">
        <v>92</v>
      </c>
      <c r="S38" s="373"/>
    </row>
    <row r="39" spans="2:19" ht="11.25" customHeight="1" x14ac:dyDescent="0.25">
      <c r="B39" s="51"/>
      <c r="C39" s="41"/>
      <c r="D39" s="37"/>
      <c r="E39" s="53"/>
      <c r="F39" s="53"/>
      <c r="G39" s="53"/>
      <c r="H39" s="37"/>
      <c r="I39" s="417"/>
      <c r="J39" s="419"/>
      <c r="K39" s="420"/>
      <c r="L39" s="71"/>
      <c r="M39" s="41"/>
      <c r="N39" s="41"/>
      <c r="O39" s="41"/>
      <c r="P39" s="41"/>
      <c r="Q39" s="55"/>
      <c r="R39" s="53"/>
      <c r="S39" s="54"/>
    </row>
    <row r="40" spans="2:19" ht="20.25" customHeight="1" x14ac:dyDescent="0.25">
      <c r="B40" s="36"/>
      <c r="C40" s="37"/>
      <c r="D40" s="37"/>
      <c r="E40" s="37"/>
      <c r="F40" s="37"/>
      <c r="G40" s="37"/>
      <c r="H40" s="37"/>
      <c r="I40" s="407"/>
      <c r="J40" s="407"/>
      <c r="K40" s="406"/>
      <c r="L40" s="71"/>
      <c r="M40" s="56"/>
      <c r="N40" s="65"/>
      <c r="O40" s="56"/>
      <c r="P40" s="56" t="s">
        <v>46</v>
      </c>
      <c r="Q40" s="363" t="s">
        <v>92</v>
      </c>
      <c r="R40" s="364"/>
      <c r="S40" s="392"/>
    </row>
    <row r="41" spans="2:19" ht="14.25" customHeight="1" x14ac:dyDescent="0.25">
      <c r="B41" s="36"/>
      <c r="C41" s="37"/>
      <c r="D41" s="37"/>
      <c r="E41" s="37"/>
      <c r="F41" s="37"/>
      <c r="G41" s="37"/>
      <c r="H41" s="37"/>
      <c r="I41" s="406"/>
      <c r="J41" s="406"/>
      <c r="K41" s="406"/>
      <c r="L41" s="71"/>
      <c r="M41" s="37"/>
      <c r="N41" s="59"/>
      <c r="O41" s="59"/>
      <c r="P41" s="59"/>
      <c r="Q41" s="366"/>
      <c r="R41" s="367"/>
      <c r="S41" s="393"/>
    </row>
    <row r="42" spans="2:19" ht="16.5" customHeight="1" x14ac:dyDescent="0.25">
      <c r="B42" s="67" t="s">
        <v>68</v>
      </c>
      <c r="C42" s="41" t="s">
        <v>51</v>
      </c>
      <c r="D42" s="37"/>
      <c r="E42" s="57" t="s">
        <v>52</v>
      </c>
      <c r="F42" s="37"/>
      <c r="G42" s="37"/>
      <c r="H42" s="372" t="s">
        <v>92</v>
      </c>
      <c r="I42" s="374"/>
      <c r="J42" s="375"/>
      <c r="K42" s="50"/>
      <c r="L42" s="71"/>
      <c r="M42" s="50"/>
      <c r="N42" s="59"/>
      <c r="O42" s="59"/>
      <c r="P42" s="59"/>
      <c r="Q42" s="366"/>
      <c r="R42" s="367"/>
      <c r="S42" s="393"/>
    </row>
    <row r="43" spans="2:19" ht="9.75" customHeight="1" x14ac:dyDescent="0.25">
      <c r="B43" s="51"/>
      <c r="C43" s="41"/>
      <c r="D43" s="37"/>
      <c r="E43" s="57"/>
      <c r="F43" s="37"/>
      <c r="G43" s="37"/>
      <c r="H43" s="97"/>
      <c r="I43" s="97"/>
      <c r="J43" s="97"/>
      <c r="K43" s="50"/>
      <c r="L43" s="71"/>
      <c r="M43" s="37"/>
      <c r="N43" s="59"/>
      <c r="O43" s="59"/>
      <c r="P43" s="59"/>
      <c r="Q43" s="366"/>
      <c r="R43" s="367"/>
      <c r="S43" s="393"/>
    </row>
    <row r="44" spans="2:19" ht="18" customHeight="1" x14ac:dyDescent="0.25">
      <c r="B44" s="51"/>
      <c r="C44" s="41"/>
      <c r="D44" s="37"/>
      <c r="E44" s="41" t="s">
        <v>53</v>
      </c>
      <c r="F44" s="37"/>
      <c r="G44" s="37"/>
      <c r="H44" s="372" t="s">
        <v>92</v>
      </c>
      <c r="I44" s="374"/>
      <c r="J44" s="375"/>
      <c r="K44" s="50"/>
      <c r="L44" s="71"/>
      <c r="M44" s="50"/>
      <c r="N44" s="59"/>
      <c r="O44" s="59"/>
      <c r="P44" s="59"/>
      <c r="Q44" s="366"/>
      <c r="R44" s="367"/>
      <c r="S44" s="393"/>
    </row>
    <row r="45" spans="2:19" ht="9.75" customHeight="1" x14ac:dyDescent="0.25">
      <c r="B45" s="51"/>
      <c r="C45" s="41"/>
      <c r="D45" s="37"/>
      <c r="E45" s="41"/>
      <c r="F45" s="37"/>
      <c r="G45" s="37"/>
      <c r="H45" s="97"/>
      <c r="I45" s="97"/>
      <c r="J45" s="97"/>
      <c r="K45" s="50"/>
      <c r="L45" s="71"/>
      <c r="M45" s="37"/>
      <c r="N45" s="59"/>
      <c r="O45" s="59"/>
      <c r="P45" s="59"/>
      <c r="Q45" s="366"/>
      <c r="R45" s="367"/>
      <c r="S45" s="393"/>
    </row>
    <row r="46" spans="2:19" ht="14.25" customHeight="1" x14ac:dyDescent="0.25">
      <c r="B46" s="36"/>
      <c r="C46" s="37"/>
      <c r="D46" s="37"/>
      <c r="E46" s="41" t="s">
        <v>54</v>
      </c>
      <c r="F46" s="37"/>
      <c r="G46" s="37"/>
      <c r="H46" s="372" t="s">
        <v>92</v>
      </c>
      <c r="I46" s="374"/>
      <c r="J46" s="375"/>
      <c r="K46" s="50"/>
      <c r="L46" s="66"/>
      <c r="M46" s="37"/>
      <c r="N46" s="37"/>
      <c r="O46" s="37"/>
      <c r="P46" s="37"/>
      <c r="Q46" s="369"/>
      <c r="R46" s="370"/>
      <c r="S46" s="429"/>
    </row>
    <row r="47" spans="2:19" ht="6.75" customHeight="1" x14ac:dyDescent="0.25">
      <c r="B47" s="36"/>
      <c r="C47" s="37"/>
      <c r="D47" s="37"/>
      <c r="E47" s="41"/>
      <c r="F47" s="37"/>
      <c r="G47" s="37"/>
      <c r="H47" s="37"/>
      <c r="I47" s="37"/>
      <c r="J47" s="37"/>
      <c r="K47" s="50"/>
      <c r="L47" s="66"/>
      <c r="M47" s="37"/>
      <c r="N47" s="37"/>
      <c r="O47" s="37"/>
      <c r="P47" s="37"/>
      <c r="Q47" s="95"/>
      <c r="R47" s="22"/>
      <c r="S47" s="96"/>
    </row>
    <row r="48" spans="2:19" ht="15" customHeight="1" x14ac:dyDescent="0.25">
      <c r="B48" s="36"/>
      <c r="C48" s="37"/>
      <c r="D48" s="37"/>
      <c r="E48" s="41"/>
      <c r="F48" s="37"/>
      <c r="G48" s="37"/>
      <c r="H48" s="411" t="s">
        <v>92</v>
      </c>
      <c r="I48" s="412"/>
      <c r="J48" s="413"/>
      <c r="K48" s="50"/>
      <c r="L48" s="72" t="s">
        <v>68</v>
      </c>
      <c r="M48" s="59" t="s">
        <v>55</v>
      </c>
      <c r="N48" s="50"/>
      <c r="O48" s="37"/>
      <c r="P48" s="41"/>
      <c r="Q48" s="69" t="s">
        <v>49</v>
      </c>
      <c r="R48" s="372" t="s">
        <v>92</v>
      </c>
      <c r="S48" s="373"/>
    </row>
    <row r="49" spans="2:19" ht="12.75" customHeight="1" x14ac:dyDescent="0.25">
      <c r="B49" s="67" t="s">
        <v>93</v>
      </c>
      <c r="C49" s="41" t="s">
        <v>56</v>
      </c>
      <c r="D49" s="37"/>
      <c r="E49" s="41"/>
      <c r="F49" s="37"/>
      <c r="G49" s="37"/>
      <c r="H49" s="414"/>
      <c r="I49" s="415"/>
      <c r="J49" s="416"/>
      <c r="K49" s="50"/>
      <c r="L49" s="71"/>
      <c r="M49" s="41" t="s">
        <v>57</v>
      </c>
      <c r="N49" s="37"/>
      <c r="O49" s="37"/>
      <c r="P49" s="41"/>
      <c r="Q49" s="41"/>
      <c r="R49" s="41"/>
      <c r="S49" s="44"/>
    </row>
    <row r="50" spans="2:19" ht="14.25" customHeight="1" x14ac:dyDescent="0.25">
      <c r="B50" s="36"/>
      <c r="C50" s="41" t="s">
        <v>58</v>
      </c>
      <c r="D50" s="37"/>
      <c r="E50" s="41"/>
      <c r="F50" s="37"/>
      <c r="G50" s="37"/>
      <c r="H50" s="414"/>
      <c r="I50" s="415"/>
      <c r="J50" s="416"/>
      <c r="K50" s="50"/>
      <c r="L50" s="71"/>
      <c r="M50" s="50"/>
      <c r="N50" s="50"/>
      <c r="O50" s="37"/>
      <c r="P50" s="113"/>
      <c r="Q50" s="411" t="s">
        <v>92</v>
      </c>
      <c r="R50" s="412"/>
      <c r="S50" s="421"/>
    </row>
    <row r="51" spans="2:19" ht="11.25" customHeight="1" x14ac:dyDescent="0.25">
      <c r="B51" s="36"/>
      <c r="C51" s="41"/>
      <c r="D51" s="37"/>
      <c r="E51" s="41"/>
      <c r="F51" s="37"/>
      <c r="G51" s="37"/>
      <c r="H51" s="414"/>
      <c r="I51" s="415"/>
      <c r="J51" s="416"/>
      <c r="K51" s="50"/>
      <c r="L51" s="71"/>
      <c r="M51" s="50"/>
      <c r="N51" s="50"/>
      <c r="O51" s="37"/>
      <c r="P51" s="113"/>
      <c r="Q51" s="414"/>
      <c r="R51" s="415"/>
      <c r="S51" s="422"/>
    </row>
    <row r="52" spans="2:19" ht="12.75" customHeight="1" x14ac:dyDescent="0.25">
      <c r="B52" s="36"/>
      <c r="C52" s="41"/>
      <c r="D52" s="37"/>
      <c r="E52" s="41"/>
      <c r="F52" s="37"/>
      <c r="G52" s="37"/>
      <c r="H52" s="414"/>
      <c r="I52" s="415"/>
      <c r="J52" s="416"/>
      <c r="K52" s="50"/>
      <c r="L52" s="71"/>
      <c r="M52" s="50"/>
      <c r="N52" s="50"/>
      <c r="O52" s="37"/>
      <c r="P52" s="113"/>
      <c r="Q52" s="414"/>
      <c r="R52" s="415"/>
      <c r="S52" s="422"/>
    </row>
    <row r="53" spans="2:19" ht="17.25" customHeight="1" x14ac:dyDescent="0.25">
      <c r="B53" s="36"/>
      <c r="C53" s="41"/>
      <c r="D53" s="37"/>
      <c r="E53" s="41"/>
      <c r="F53" s="37"/>
      <c r="G53" s="37"/>
      <c r="H53" s="417"/>
      <c r="I53" s="418"/>
      <c r="J53" s="419"/>
      <c r="K53" s="50"/>
      <c r="L53" s="71"/>
      <c r="M53" s="50"/>
      <c r="N53" s="50"/>
      <c r="O53" s="37"/>
      <c r="P53" s="113"/>
      <c r="Q53" s="417"/>
      <c r="R53" s="418"/>
      <c r="S53" s="423"/>
    </row>
    <row r="54" spans="2:19" ht="12" customHeight="1" x14ac:dyDescent="0.25">
      <c r="B54" s="36"/>
      <c r="C54" s="41"/>
      <c r="D54" s="37"/>
      <c r="E54" s="41"/>
      <c r="F54" s="37"/>
      <c r="G54" s="37"/>
      <c r="H54" s="407"/>
      <c r="I54" s="407"/>
      <c r="J54" s="407"/>
      <c r="K54" s="50"/>
      <c r="L54" s="71"/>
      <c r="M54" s="50"/>
      <c r="N54" s="50"/>
      <c r="O54" s="37"/>
      <c r="P54" s="114"/>
      <c r="Q54" s="114"/>
      <c r="R54" s="114"/>
      <c r="S54" s="115"/>
    </row>
    <row r="55" spans="2:19" ht="15.75" customHeight="1" x14ac:dyDescent="0.25">
      <c r="B55" s="36"/>
      <c r="C55" s="37"/>
      <c r="D55" s="37"/>
      <c r="E55" s="41"/>
      <c r="F55" s="37"/>
      <c r="G55" s="37"/>
      <c r="H55" s="406"/>
      <c r="I55" s="406"/>
      <c r="J55" s="406"/>
      <c r="K55" s="50"/>
      <c r="L55" s="72" t="s">
        <v>93</v>
      </c>
      <c r="M55" s="58" t="s">
        <v>59</v>
      </c>
      <c r="N55" s="50"/>
      <c r="O55" s="37"/>
      <c r="P55" s="363" t="s">
        <v>110</v>
      </c>
      <c r="Q55" s="364"/>
      <c r="R55" s="364"/>
      <c r="S55" s="392"/>
    </row>
    <row r="56" spans="2:19" ht="8.25" customHeight="1" x14ac:dyDescent="0.25">
      <c r="B56" s="36"/>
      <c r="C56" s="37"/>
      <c r="D56" s="37"/>
      <c r="E56" s="41"/>
      <c r="F56" s="37"/>
      <c r="G56" s="37"/>
      <c r="H56" s="87"/>
      <c r="I56" s="87"/>
      <c r="J56" s="87"/>
      <c r="K56" s="50"/>
      <c r="L56" s="71"/>
      <c r="M56" s="50"/>
      <c r="N56" s="50"/>
      <c r="O56" s="37"/>
      <c r="P56" s="366"/>
      <c r="Q56" s="367"/>
      <c r="R56" s="367"/>
      <c r="S56" s="393"/>
    </row>
    <row r="57" spans="2:19" ht="15.75" customHeight="1" x14ac:dyDescent="0.25">
      <c r="B57" s="67" t="s">
        <v>83</v>
      </c>
      <c r="C57" s="41" t="s">
        <v>60</v>
      </c>
      <c r="D57" s="37"/>
      <c r="E57" s="37"/>
      <c r="F57" s="37"/>
      <c r="G57" s="56" t="s">
        <v>46</v>
      </c>
      <c r="H57" s="363" t="s">
        <v>105</v>
      </c>
      <c r="I57" s="364"/>
      <c r="J57" s="365"/>
      <c r="K57" s="59"/>
      <c r="L57" s="72" t="s">
        <v>106</v>
      </c>
      <c r="M57" s="37" t="s">
        <v>61</v>
      </c>
      <c r="N57" s="37"/>
      <c r="O57" s="37"/>
      <c r="P57" s="366"/>
      <c r="Q57" s="367"/>
      <c r="R57" s="367"/>
      <c r="S57" s="393"/>
    </row>
    <row r="58" spans="2:19" ht="29.25" customHeight="1" x14ac:dyDescent="0.25">
      <c r="B58" s="51"/>
      <c r="C58" s="93" t="s">
        <v>62</v>
      </c>
      <c r="D58" s="37"/>
      <c r="E58" s="37"/>
      <c r="F58" s="37"/>
      <c r="G58" s="37"/>
      <c r="H58" s="366"/>
      <c r="I58" s="367"/>
      <c r="J58" s="368"/>
      <c r="K58" s="59"/>
      <c r="L58" s="59"/>
      <c r="M58" s="59"/>
      <c r="N58" s="59"/>
      <c r="O58" s="37"/>
      <c r="P58" s="366"/>
      <c r="Q58" s="367"/>
      <c r="R58" s="367"/>
      <c r="S58" s="393"/>
    </row>
    <row r="59" spans="2:19" ht="3" customHeight="1" x14ac:dyDescent="0.25">
      <c r="B59" s="36"/>
      <c r="C59" s="37"/>
      <c r="D59" s="37"/>
      <c r="E59" s="37"/>
      <c r="F59" s="37"/>
      <c r="G59" s="68"/>
      <c r="H59" s="369"/>
      <c r="I59" s="370"/>
      <c r="J59" s="371"/>
      <c r="K59" s="59"/>
      <c r="L59" s="59"/>
      <c r="M59" s="59"/>
      <c r="N59" s="59"/>
      <c r="O59" s="37"/>
      <c r="P59" s="110"/>
      <c r="Q59" s="111"/>
      <c r="R59" s="111"/>
      <c r="S59" s="112"/>
    </row>
    <row r="60" spans="2:19" ht="6.75" customHeight="1" thickBot="1" x14ac:dyDescent="0.3">
      <c r="B60" s="74"/>
      <c r="C60" s="75"/>
      <c r="D60" s="75"/>
      <c r="E60" s="75"/>
      <c r="F60" s="75"/>
      <c r="G60" s="75"/>
      <c r="H60" s="76"/>
      <c r="I60" s="76"/>
      <c r="J60" s="76"/>
      <c r="K60" s="73"/>
      <c r="L60" s="73"/>
      <c r="M60" s="73"/>
      <c r="N60" s="73"/>
      <c r="O60" s="75"/>
      <c r="P60" s="76"/>
      <c r="Q60" s="76"/>
      <c r="R60" s="76"/>
      <c r="S60" s="77"/>
    </row>
    <row r="61" spans="2:19" ht="5.0999999999999996" customHeight="1" thickBot="1" x14ac:dyDescent="0.3">
      <c r="B61" s="36"/>
      <c r="C61" s="37"/>
      <c r="D61" s="37"/>
      <c r="E61" s="41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41"/>
      <c r="Q61" s="41"/>
      <c r="R61" s="41"/>
      <c r="S61" s="44"/>
    </row>
    <row r="62" spans="2:19" ht="368.25" customHeight="1" x14ac:dyDescent="0.25">
      <c r="B62" s="484" t="s">
        <v>79</v>
      </c>
      <c r="C62" s="485"/>
      <c r="D62" s="396" t="s">
        <v>119</v>
      </c>
      <c r="E62" s="397"/>
      <c r="F62" s="397"/>
      <c r="G62" s="397"/>
      <c r="H62" s="397"/>
      <c r="I62" s="397"/>
      <c r="J62" s="397"/>
      <c r="K62" s="397"/>
      <c r="L62" s="397"/>
      <c r="M62" s="397"/>
      <c r="N62" s="397"/>
      <c r="O62" s="397"/>
      <c r="P62" s="397"/>
      <c r="Q62" s="397"/>
      <c r="R62" s="397"/>
      <c r="S62" s="398"/>
    </row>
    <row r="63" spans="2:19" ht="271.5" customHeight="1" x14ac:dyDescent="0.25">
      <c r="B63" s="486"/>
      <c r="C63" s="487"/>
      <c r="D63" s="483" t="s">
        <v>114</v>
      </c>
      <c r="E63" s="367"/>
      <c r="F63" s="367"/>
      <c r="G63" s="367"/>
      <c r="H63" s="367"/>
      <c r="I63" s="367"/>
      <c r="J63" s="367"/>
      <c r="K63" s="367"/>
      <c r="L63" s="367"/>
      <c r="M63" s="367"/>
      <c r="N63" s="367"/>
      <c r="O63" s="367"/>
      <c r="P63" s="367"/>
      <c r="Q63" s="367"/>
      <c r="R63" s="367"/>
      <c r="S63" s="393"/>
    </row>
    <row r="64" spans="2:19" ht="409.5" customHeight="1" thickBot="1" x14ac:dyDescent="0.3">
      <c r="B64" s="488"/>
      <c r="C64" s="489"/>
      <c r="D64" s="490" t="s">
        <v>111</v>
      </c>
      <c r="E64" s="491"/>
      <c r="F64" s="491"/>
      <c r="G64" s="491"/>
      <c r="H64" s="491"/>
      <c r="I64" s="491"/>
      <c r="J64" s="491"/>
      <c r="K64" s="491"/>
      <c r="L64" s="491"/>
      <c r="M64" s="491"/>
      <c r="N64" s="491"/>
      <c r="O64" s="491"/>
      <c r="P64" s="491"/>
      <c r="Q64" s="491"/>
      <c r="R64" s="491"/>
      <c r="S64" s="492"/>
    </row>
    <row r="65" spans="2:19" ht="32.1" customHeight="1" x14ac:dyDescent="0.25">
      <c r="B65" s="380" t="s">
        <v>63</v>
      </c>
      <c r="C65" s="381"/>
      <c r="D65" s="381"/>
      <c r="E65" s="382" t="s">
        <v>107</v>
      </c>
      <c r="F65" s="382"/>
      <c r="G65" s="382"/>
      <c r="H65" s="382"/>
      <c r="I65" s="382"/>
      <c r="J65" s="382"/>
      <c r="K65" s="383" t="s">
        <v>64</v>
      </c>
      <c r="L65" s="383"/>
      <c r="M65" s="383"/>
      <c r="N65" s="383"/>
      <c r="O65" s="383"/>
      <c r="P65" s="384">
        <f>C30</f>
        <v>44292027.329382375</v>
      </c>
      <c r="Q65" s="384"/>
      <c r="R65" s="124" t="s">
        <v>65</v>
      </c>
      <c r="S65" s="125" t="s">
        <v>84</v>
      </c>
    </row>
    <row r="66" spans="2:19" ht="30.75" customHeight="1" x14ac:dyDescent="0.25">
      <c r="B66" s="385" t="s">
        <v>66</v>
      </c>
      <c r="C66" s="386"/>
      <c r="D66" s="386"/>
      <c r="E66" s="387" t="s">
        <v>90</v>
      </c>
      <c r="F66" s="387"/>
      <c r="G66" s="387"/>
      <c r="H66" s="386" t="s">
        <v>88</v>
      </c>
      <c r="I66" s="386"/>
      <c r="J66" s="107" t="s">
        <v>89</v>
      </c>
      <c r="K66" s="389" t="s">
        <v>115</v>
      </c>
      <c r="L66" s="390"/>
      <c r="M66" s="390"/>
      <c r="N66" s="391"/>
      <c r="O66" s="388" t="s">
        <v>94</v>
      </c>
      <c r="P66" s="388"/>
      <c r="Q66" s="140" t="s">
        <v>116</v>
      </c>
      <c r="R66" s="106" t="s">
        <v>117</v>
      </c>
      <c r="S66" s="394">
        <v>36</v>
      </c>
    </row>
    <row r="67" spans="2:19" ht="33" customHeight="1" thickBot="1" x14ac:dyDescent="0.3">
      <c r="B67" s="376" t="s">
        <v>67</v>
      </c>
      <c r="C67" s="377"/>
      <c r="D67" s="377"/>
      <c r="E67" s="378" t="s">
        <v>86</v>
      </c>
      <c r="F67" s="378"/>
      <c r="G67" s="378"/>
      <c r="H67" s="377" t="s">
        <v>67</v>
      </c>
      <c r="I67" s="377"/>
      <c r="J67" s="79"/>
      <c r="K67" s="379" t="s">
        <v>67</v>
      </c>
      <c r="L67" s="379"/>
      <c r="M67" s="379"/>
      <c r="N67" s="379"/>
      <c r="O67" s="361" t="s">
        <v>86</v>
      </c>
      <c r="P67" s="362"/>
      <c r="Q67" s="139" t="s">
        <v>67</v>
      </c>
      <c r="R67" s="88"/>
      <c r="S67" s="395"/>
    </row>
    <row r="68" spans="2:19" ht="15" customHeight="1" x14ac:dyDescent="0.25"/>
    <row r="69" spans="2:19" ht="15" customHeight="1" x14ac:dyDescent="0.25"/>
    <row r="70" spans="2:19" ht="15" customHeight="1" x14ac:dyDescent="0.25"/>
  </sheetData>
  <sheetProtection formatCells="0" formatColumns="0" formatRows="0" insertRows="0" deleteRows="0"/>
  <dataConsolidate function="max"/>
  <mergeCells count="103">
    <mergeCell ref="D63:S63"/>
    <mergeCell ref="B62:C64"/>
    <mergeCell ref="D64:S64"/>
    <mergeCell ref="H44:J44"/>
    <mergeCell ref="H46:J46"/>
    <mergeCell ref="B35:S35"/>
    <mergeCell ref="C29:E29"/>
    <mergeCell ref="R3:S3"/>
    <mergeCell ref="O3:P3"/>
    <mergeCell ref="K3:N3"/>
    <mergeCell ref="B4:C5"/>
    <mergeCell ref="D4:Q5"/>
    <mergeCell ref="K13:N13"/>
    <mergeCell ref="O13:P13"/>
    <mergeCell ref="K14:N14"/>
    <mergeCell ref="O14:P14"/>
    <mergeCell ref="K9:N9"/>
    <mergeCell ref="O9:P9"/>
    <mergeCell ref="K12:N12"/>
    <mergeCell ref="O12:P12"/>
    <mergeCell ref="B6:C7"/>
    <mergeCell ref="D6:Q7"/>
    <mergeCell ref="R4:S4"/>
    <mergeCell ref="R5:S5"/>
    <mergeCell ref="B3:C3"/>
    <mergeCell ref="D3:E3"/>
    <mergeCell ref="F30:H30"/>
    <mergeCell ref="R30:S30"/>
    <mergeCell ref="F31:H31"/>
    <mergeCell ref="I31:J31"/>
    <mergeCell ref="F32:H32"/>
    <mergeCell ref="F29:H29"/>
    <mergeCell ref="G24:H24"/>
    <mergeCell ref="G25:H25"/>
    <mergeCell ref="G26:H26"/>
    <mergeCell ref="G27:H27"/>
    <mergeCell ref="Q31:S32"/>
    <mergeCell ref="H3:I3"/>
    <mergeCell ref="R6:S6"/>
    <mergeCell ref="R7:S7"/>
    <mergeCell ref="B8:S8"/>
    <mergeCell ref="B9:H9"/>
    <mergeCell ref="B10:H10"/>
    <mergeCell ref="K10:N10"/>
    <mergeCell ref="O10:P10"/>
    <mergeCell ref="K11:N11"/>
    <mergeCell ref="O11:P11"/>
    <mergeCell ref="O15:P15"/>
    <mergeCell ref="P1:S1"/>
    <mergeCell ref="B2:C2"/>
    <mergeCell ref="D2:E2"/>
    <mergeCell ref="H2:I2"/>
    <mergeCell ref="R2:S2"/>
    <mergeCell ref="O2:P2"/>
    <mergeCell ref="K2:N2"/>
    <mergeCell ref="B1:C1"/>
    <mergeCell ref="D1:O1"/>
    <mergeCell ref="O17:P17"/>
    <mergeCell ref="K19:N19"/>
    <mergeCell ref="O19:P19"/>
    <mergeCell ref="K18:N18"/>
    <mergeCell ref="O18:P18"/>
    <mergeCell ref="H55:J55"/>
    <mergeCell ref="H54:J54"/>
    <mergeCell ref="B20:S20"/>
    <mergeCell ref="H48:J53"/>
    <mergeCell ref="I41:K41"/>
    <mergeCell ref="I40:K40"/>
    <mergeCell ref="I36:J39"/>
    <mergeCell ref="K36:K39"/>
    <mergeCell ref="Q50:S53"/>
    <mergeCell ref="G23:H23"/>
    <mergeCell ref="I29:J29"/>
    <mergeCell ref="R48:S48"/>
    <mergeCell ref="R29:S29"/>
    <mergeCell ref="Q40:S46"/>
    <mergeCell ref="R36:S36"/>
    <mergeCell ref="E38:G38"/>
    <mergeCell ref="C30:E32"/>
    <mergeCell ref="K15:N15"/>
    <mergeCell ref="O67:P67"/>
    <mergeCell ref="H57:J59"/>
    <mergeCell ref="R38:S38"/>
    <mergeCell ref="H42:J42"/>
    <mergeCell ref="B67:D67"/>
    <mergeCell ref="E67:G67"/>
    <mergeCell ref="H67:I67"/>
    <mergeCell ref="K67:N67"/>
    <mergeCell ref="B65:D65"/>
    <mergeCell ref="E65:J65"/>
    <mergeCell ref="K65:O65"/>
    <mergeCell ref="P65:Q65"/>
    <mergeCell ref="B66:D66"/>
    <mergeCell ref="E66:G66"/>
    <mergeCell ref="H66:I66"/>
    <mergeCell ref="O66:P66"/>
    <mergeCell ref="K66:N66"/>
    <mergeCell ref="P55:S58"/>
    <mergeCell ref="S66:S67"/>
    <mergeCell ref="D62:S62"/>
    <mergeCell ref="K16:N16"/>
    <mergeCell ref="O16:P16"/>
    <mergeCell ref="K17:N17"/>
  </mergeCells>
  <conditionalFormatting sqref="I10:K10 O19 O10:O17 I11 K11 I14:K19 Q10:S19">
    <cfRule type="expression" dxfId="24" priority="20" stopIfTrue="1">
      <formula>I$11=""</formula>
    </cfRule>
  </conditionalFormatting>
  <conditionalFormatting sqref="O18">
    <cfRule type="expression" dxfId="23" priority="21" stopIfTrue="1">
      <formula>#REF!=""</formula>
    </cfRule>
  </conditionalFormatting>
  <conditionalFormatting sqref="F30:F32 C30">
    <cfRule type="cellIs" dxfId="22" priority="19" stopIfTrue="1" operator="equal">
      <formula>0</formula>
    </cfRule>
  </conditionalFormatting>
  <conditionalFormatting sqref="G24">
    <cfRule type="cellIs" dxfId="21" priority="18" stopIfTrue="1" operator="equal">
      <formula>0</formula>
    </cfRule>
  </conditionalFormatting>
  <conditionalFormatting sqref="Q24:Q27">
    <cfRule type="cellIs" dxfId="20" priority="17" stopIfTrue="1" operator="equal">
      <formula>0</formula>
    </cfRule>
  </conditionalFormatting>
  <conditionalFormatting sqref="R29">
    <cfRule type="cellIs" dxfId="19" priority="15" stopIfTrue="1" operator="equal">
      <formula>"FORA DO PRAZO"</formula>
    </cfRule>
    <cfRule type="cellIs" dxfId="18" priority="16" stopIfTrue="1" operator="equal">
      <formula>"DENTRO DO PRAZO"</formula>
    </cfRule>
  </conditionalFormatting>
  <conditionalFormatting sqref="I13">
    <cfRule type="expression" dxfId="17" priority="14" stopIfTrue="1">
      <formula>I$11=""</formula>
    </cfRule>
  </conditionalFormatting>
  <conditionalFormatting sqref="I12">
    <cfRule type="expression" dxfId="16" priority="13" stopIfTrue="1">
      <formula>I$11=""</formula>
    </cfRule>
  </conditionalFormatting>
  <conditionalFormatting sqref="G25">
    <cfRule type="cellIs" dxfId="15" priority="9" stopIfTrue="1" operator="equal">
      <formula>0</formula>
    </cfRule>
  </conditionalFormatting>
  <conditionalFormatting sqref="G26">
    <cfRule type="cellIs" dxfId="14" priority="8" stopIfTrue="1" operator="equal">
      <formula>0</formula>
    </cfRule>
  </conditionalFormatting>
  <conditionalFormatting sqref="G27">
    <cfRule type="cellIs" dxfId="13" priority="7" stopIfTrue="1" operator="equal">
      <formula>0</formula>
    </cfRule>
  </conditionalFormatting>
  <conditionalFormatting sqref="K13">
    <cfRule type="expression" dxfId="12" priority="6" stopIfTrue="1">
      <formula>K$11=""</formula>
    </cfRule>
  </conditionalFormatting>
  <conditionalFormatting sqref="K12">
    <cfRule type="expression" dxfId="11" priority="5" stopIfTrue="1">
      <formula>K$11=""</formula>
    </cfRule>
  </conditionalFormatting>
  <conditionalFormatting sqref="J11">
    <cfRule type="expression" dxfId="10" priority="4" stopIfTrue="1">
      <formula>J$11=""</formula>
    </cfRule>
  </conditionalFormatting>
  <conditionalFormatting sqref="J13">
    <cfRule type="expression" dxfId="9" priority="1" stopIfTrue="1">
      <formula>J$11=""</formula>
    </cfRule>
  </conditionalFormatting>
  <dataValidations count="5">
    <dataValidation type="list" allowBlank="1" showInputMessage="1" sqref="S65" xr:uid="{00000000-0002-0000-0000-000000000000}">
      <formula1>"DIA(S),MÊS(ES),ANO(S)"</formula1>
    </dataValidation>
    <dataValidation operator="greaterThan" allowBlank="1" showInputMessage="1" showErrorMessage="1" errorTitle="Atenção" error="Digite a data correta" sqref="Q29" xr:uid="{00000000-0002-0000-0000-000001000000}"/>
    <dataValidation operator="greaterThan" showInputMessage="1" showErrorMessage="1" errorTitle="Atenção" error="Digite a data correta" sqref="R23 G23 I23" xr:uid="{00000000-0002-0000-0000-000002000000}"/>
    <dataValidation type="list" allowBlank="1" showInputMessage="1" showErrorMessage="1" sqref="H2" xr:uid="{00000000-0002-0000-0000-000003000000}">
      <formula1>"Serviço, Material,Serviço e Material"</formula1>
    </dataValidation>
    <dataValidation type="list" allowBlank="1" showInputMessage="1" showErrorMessage="1" sqref="H3 J3 R7" xr:uid="{00000000-0002-0000-0000-000004000000}">
      <formula1>"Sim, Não"</formula1>
    </dataValidation>
  </dataValidations>
  <printOptions horizontalCentered="1" verticalCentered="1"/>
  <pageMargins left="0.39370078740157483" right="0.19685039370078741" top="0.15748031496062992" bottom="7.874015748031496E-2" header="0" footer="0.15748031496062992"/>
  <pageSetup paperSize="9" scale="40" orientation="landscape" cellComments="asDisplayed" r:id="rId1"/>
  <headerFooter alignWithMargins="0"/>
  <ignoredErrors>
    <ignoredError sqref="I26:I27 R24:R27" unlocked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D718F-187D-4682-92D1-385DA6FF6E4C}">
  <sheetPr codeName="Planilha1">
    <tabColor theme="9" tint="-0.249977111117893"/>
    <pageSetUpPr fitToPage="1"/>
  </sheetPr>
  <dimension ref="A1:AV31"/>
  <sheetViews>
    <sheetView showGridLines="0" tabSelected="1" zoomScale="80" zoomScaleNormal="80" zoomScaleSheetLayoutView="37" workbookViewId="0">
      <selection activeCell="C23" sqref="C23:K23"/>
    </sheetView>
  </sheetViews>
  <sheetFormatPr defaultColWidth="0" defaultRowHeight="13.2" x14ac:dyDescent="0.25"/>
  <cols>
    <col min="1" max="1" width="1.6640625" style="2" customWidth="1"/>
    <col min="2" max="8" width="24.6640625" style="2" customWidth="1"/>
    <col min="9" max="9" width="28.109375" style="31" customWidth="1"/>
    <col min="10" max="11" width="24.6640625" style="31" customWidth="1"/>
    <col min="12" max="12" width="18.5546875" style="1" customWidth="1"/>
    <col min="13" max="18" width="9.109375" style="2" hidden="1" customWidth="1"/>
    <col min="19" max="29" width="0" style="2" hidden="1" customWidth="1"/>
    <col min="30" max="35" width="9.109375" style="2" hidden="1" customWidth="1"/>
    <col min="36" max="48" width="0" style="2" hidden="1" customWidth="1"/>
    <col min="49" max="16384" width="9.109375" style="2" hidden="1"/>
  </cols>
  <sheetData>
    <row r="1" spans="2:18" ht="46.5" customHeight="1" thickBot="1" x14ac:dyDescent="0.3">
      <c r="B1" s="144"/>
      <c r="C1" s="545" t="s">
        <v>183</v>
      </c>
      <c r="D1" s="546"/>
      <c r="E1" s="546"/>
      <c r="F1" s="546"/>
      <c r="G1" s="546"/>
      <c r="H1" s="547"/>
      <c r="I1" s="548" t="s">
        <v>184</v>
      </c>
      <c r="J1" s="549"/>
      <c r="K1" s="550"/>
    </row>
    <row r="2" spans="2:18" ht="20.100000000000001" customHeight="1" x14ac:dyDescent="0.25">
      <c r="B2" s="214" t="s">
        <v>194</v>
      </c>
      <c r="C2" s="342" t="s">
        <v>201</v>
      </c>
      <c r="D2" s="206" t="s">
        <v>186</v>
      </c>
      <c r="E2" s="553" t="s">
        <v>185</v>
      </c>
      <c r="F2" s="554"/>
      <c r="G2" s="166" t="s">
        <v>69</v>
      </c>
      <c r="H2" s="166" t="s">
        <v>5</v>
      </c>
      <c r="I2" s="163" t="s">
        <v>6</v>
      </c>
      <c r="J2" s="551" t="s">
        <v>120</v>
      </c>
      <c r="K2" s="552"/>
      <c r="L2" s="5"/>
    </row>
    <row r="3" spans="2:18" s="13" customFormat="1" ht="24.9" customHeight="1" x14ac:dyDescent="0.25">
      <c r="B3" s="215" t="s">
        <v>166</v>
      </c>
      <c r="C3" s="343">
        <v>3181</v>
      </c>
      <c r="D3" s="344" t="s">
        <v>200</v>
      </c>
      <c r="E3" s="555" t="s">
        <v>432</v>
      </c>
      <c r="F3" s="556"/>
      <c r="G3" s="345" t="s">
        <v>202</v>
      </c>
      <c r="H3" s="345" t="s">
        <v>203</v>
      </c>
      <c r="I3" s="346" t="s">
        <v>433</v>
      </c>
      <c r="J3" s="543">
        <v>300449.32</v>
      </c>
      <c r="K3" s="544"/>
      <c r="L3" s="9"/>
    </row>
    <row r="4" spans="2:18" s="13" customFormat="1" ht="24.9" customHeight="1" x14ac:dyDescent="0.25">
      <c r="B4" s="449" t="s">
        <v>9</v>
      </c>
      <c r="C4" s="533" t="s">
        <v>430</v>
      </c>
      <c r="D4" s="533"/>
      <c r="E4" s="533"/>
      <c r="F4" s="533"/>
      <c r="G4" s="533"/>
      <c r="H4" s="533"/>
      <c r="I4" s="533"/>
      <c r="J4" s="534" t="s">
        <v>10</v>
      </c>
      <c r="K4" s="535"/>
      <c r="L4" s="9"/>
      <c r="R4" s="165" t="str">
        <f>IF(ISERROR(VLOOKUP(#REF!,$M$2:$M$22,1,FALSE)),"",VLOOKUP(#REF!,$M$2:$M$22,1,FALSE))</f>
        <v/>
      </c>
    </row>
    <row r="5" spans="2:18" s="13" customFormat="1" ht="24.9" customHeight="1" x14ac:dyDescent="0.25">
      <c r="B5" s="449"/>
      <c r="C5" s="533"/>
      <c r="D5" s="533"/>
      <c r="E5" s="533"/>
      <c r="F5" s="533"/>
      <c r="G5" s="533"/>
      <c r="H5" s="533"/>
      <c r="I5" s="533"/>
      <c r="J5" s="536" t="s">
        <v>96</v>
      </c>
      <c r="K5" s="537"/>
      <c r="L5" s="9"/>
    </row>
    <row r="6" spans="2:18" s="13" customFormat="1" ht="24.9" customHeight="1" x14ac:dyDescent="0.25">
      <c r="B6" s="449" t="s">
        <v>11</v>
      </c>
      <c r="C6" s="533" t="s">
        <v>204</v>
      </c>
      <c r="D6" s="533"/>
      <c r="E6" s="533"/>
      <c r="F6" s="533"/>
      <c r="G6" s="533"/>
      <c r="H6" s="533"/>
      <c r="I6" s="533"/>
      <c r="J6" s="534" t="s">
        <v>12</v>
      </c>
      <c r="K6" s="535"/>
      <c r="L6" s="9"/>
    </row>
    <row r="7" spans="2:18" s="13" customFormat="1" ht="31.5" customHeight="1" thickBot="1" x14ac:dyDescent="0.3">
      <c r="B7" s="511"/>
      <c r="C7" s="538"/>
      <c r="D7" s="538"/>
      <c r="E7" s="538"/>
      <c r="F7" s="538"/>
      <c r="G7" s="538"/>
      <c r="H7" s="538"/>
      <c r="I7" s="538"/>
      <c r="J7" s="539" t="s">
        <v>70</v>
      </c>
      <c r="K7" s="540"/>
      <c r="L7" s="9"/>
    </row>
    <row r="8" spans="2:18" ht="24.75" customHeight="1" thickBot="1" x14ac:dyDescent="0.3">
      <c r="B8" s="468" t="s">
        <v>181</v>
      </c>
      <c r="C8" s="469"/>
      <c r="D8" s="469"/>
      <c r="E8" s="469"/>
      <c r="F8" s="469"/>
      <c r="G8" s="469"/>
      <c r="H8" s="469"/>
      <c r="I8" s="469"/>
      <c r="J8" s="531"/>
      <c r="K8" s="532"/>
      <c r="L8" s="5"/>
    </row>
    <row r="9" spans="2:18" ht="30.9" customHeight="1" x14ac:dyDescent="0.25">
      <c r="B9" s="541" t="s">
        <v>178</v>
      </c>
      <c r="C9" s="542"/>
      <c r="D9" s="210" t="s">
        <v>195</v>
      </c>
      <c r="E9" s="210" t="s">
        <v>196</v>
      </c>
      <c r="F9" s="211" t="s">
        <v>173</v>
      </c>
      <c r="G9" s="212" t="s">
        <v>174</v>
      </c>
      <c r="H9" s="212" t="s">
        <v>175</v>
      </c>
      <c r="I9" s="211" t="s">
        <v>176</v>
      </c>
      <c r="J9" s="211" t="s">
        <v>177</v>
      </c>
      <c r="K9" s="213" t="s">
        <v>179</v>
      </c>
      <c r="L9" s="5"/>
    </row>
    <row r="10" spans="2:18" ht="15" customHeight="1" x14ac:dyDescent="0.25">
      <c r="B10" s="347" t="s">
        <v>172</v>
      </c>
      <c r="C10" s="348"/>
      <c r="D10" s="349">
        <f>Exportação_CT3181!Q31</f>
        <v>4702017.57</v>
      </c>
      <c r="E10" s="350">
        <v>0</v>
      </c>
      <c r="F10" s="351">
        <v>0</v>
      </c>
      <c r="G10" s="352">
        <f>Exportação_CT3181!D10</f>
        <v>43908</v>
      </c>
      <c r="H10" s="352">
        <f>Exportação_CT3181!D11</f>
        <v>44697</v>
      </c>
      <c r="I10" s="353">
        <f>H10-G10</f>
        <v>789</v>
      </c>
      <c r="J10" s="353">
        <v>0</v>
      </c>
      <c r="K10" s="207" t="s">
        <v>187</v>
      </c>
      <c r="L10" s="209"/>
    </row>
    <row r="11" spans="2:18" ht="15" customHeight="1" x14ac:dyDescent="0.25">
      <c r="B11" s="354" t="s">
        <v>171</v>
      </c>
      <c r="C11" s="348"/>
      <c r="D11" s="349">
        <f>D10+Exportação_CT3181!P27</f>
        <v>7033647.3100000005</v>
      </c>
      <c r="E11" s="355">
        <f t="shared" ref="E11:E12" si="0">IF(D11="",0,D11-D10)</f>
        <v>2331629.7400000002</v>
      </c>
      <c r="F11" s="356">
        <f t="shared" ref="F11:F12" si="1">IF(ISERROR(D11/$D$10-1),0,D11*100/$D$10/100)-1</f>
        <v>0.49587856814409981</v>
      </c>
      <c r="G11" s="352">
        <v>43908</v>
      </c>
      <c r="H11" s="352">
        <v>44697</v>
      </c>
      <c r="I11" s="353">
        <f t="shared" ref="I11" si="2">IF(H11="",0,H11-G11+1)</f>
        <v>790</v>
      </c>
      <c r="J11" s="353">
        <f>IF(I11=0,0,I11-I10)</f>
        <v>1</v>
      </c>
      <c r="K11" s="207" t="s">
        <v>180</v>
      </c>
      <c r="L11" s="164"/>
    </row>
    <row r="12" spans="2:18" ht="15" customHeight="1" x14ac:dyDescent="0.25">
      <c r="B12" s="354" t="s">
        <v>200</v>
      </c>
      <c r="C12" s="348"/>
      <c r="D12" s="357">
        <f>D11+J3</f>
        <v>7334096.6300000008</v>
      </c>
      <c r="E12" s="355">
        <f t="shared" si="0"/>
        <v>300449.3200000003</v>
      </c>
      <c r="F12" s="356">
        <f t="shared" si="1"/>
        <v>0.55977652588822657</v>
      </c>
      <c r="G12" s="352">
        <v>43908</v>
      </c>
      <c r="H12" s="352">
        <v>44697</v>
      </c>
      <c r="I12" s="353">
        <f t="shared" ref="I12" si="3">IF(H12="",0,H12-G12+1)</f>
        <v>790</v>
      </c>
      <c r="J12" s="353">
        <f>IF(I12=0,0,I12-I11)</f>
        <v>0</v>
      </c>
      <c r="K12" s="207" t="s">
        <v>180</v>
      </c>
      <c r="L12" s="164"/>
    </row>
    <row r="13" spans="2:18" s="31" customFormat="1" ht="20.25" customHeight="1" thickBot="1" x14ac:dyDescent="0.3">
      <c r="B13" s="408"/>
      <c r="C13" s="409"/>
      <c r="D13" s="409"/>
      <c r="E13" s="409"/>
      <c r="F13" s="409"/>
      <c r="G13" s="409"/>
      <c r="H13" s="409"/>
      <c r="I13" s="409"/>
      <c r="J13" s="409"/>
      <c r="K13" s="410"/>
      <c r="L13" s="164"/>
    </row>
    <row r="14" spans="2:18" ht="3.9" customHeight="1" thickBot="1" x14ac:dyDescent="0.3">
      <c r="B14" s="123"/>
      <c r="K14" s="2"/>
      <c r="L14" s="2"/>
    </row>
    <row r="15" spans="2:18" ht="16.5" customHeight="1" thickBot="1" x14ac:dyDescent="0.3">
      <c r="B15" s="171" t="s">
        <v>159</v>
      </c>
      <c r="C15" s="172"/>
      <c r="D15" s="172"/>
      <c r="E15" s="172"/>
      <c r="F15" s="172"/>
      <c r="G15" s="172"/>
      <c r="H15" s="172"/>
      <c r="I15" s="173"/>
      <c r="J15" s="173"/>
      <c r="K15" s="174"/>
      <c r="L15" s="2"/>
    </row>
    <row r="16" spans="2:18" ht="12.75" customHeight="1" x14ac:dyDescent="0.25">
      <c r="B16" s="170"/>
      <c r="C16" s="50"/>
      <c r="D16" s="50"/>
      <c r="E16" s="50"/>
      <c r="F16" s="50"/>
      <c r="G16" s="50"/>
      <c r="H16" s="50"/>
      <c r="I16" s="59"/>
      <c r="J16" s="59"/>
      <c r="K16" s="146"/>
      <c r="L16" s="2"/>
    </row>
    <row r="17" spans="1:23" s="167" customFormat="1" ht="30" customHeight="1" x14ac:dyDescent="0.25">
      <c r="B17" s="168"/>
      <c r="C17" s="181" t="s">
        <v>193</v>
      </c>
      <c r="D17" s="184" t="s">
        <v>182</v>
      </c>
      <c r="E17" s="195" t="s">
        <v>192</v>
      </c>
      <c r="F17" s="185" t="s">
        <v>191</v>
      </c>
      <c r="G17" s="184" t="s">
        <v>188</v>
      </c>
      <c r="H17" s="195" t="s">
        <v>189</v>
      </c>
      <c r="I17" s="185" t="s">
        <v>190</v>
      </c>
      <c r="K17" s="169"/>
    </row>
    <row r="18" spans="1:23" ht="15" customHeight="1" x14ac:dyDescent="0.25">
      <c r="B18" s="36"/>
      <c r="C18" s="182" t="s">
        <v>154</v>
      </c>
      <c r="D18" s="186" t="s">
        <v>155</v>
      </c>
      <c r="E18" s="196" t="s">
        <v>157</v>
      </c>
      <c r="F18" s="187" t="s">
        <v>158</v>
      </c>
      <c r="G18" s="190" t="s">
        <v>156</v>
      </c>
      <c r="H18" s="196" t="s">
        <v>161</v>
      </c>
      <c r="I18" s="187" t="s">
        <v>160</v>
      </c>
      <c r="J18" s="2"/>
      <c r="K18" s="161"/>
      <c r="L18" s="2"/>
    </row>
    <row r="19" spans="1:23" ht="24.9" customHeight="1" x14ac:dyDescent="0.25">
      <c r="B19" s="36"/>
      <c r="C19" s="183">
        <f>E12</f>
        <v>300449.3200000003</v>
      </c>
      <c r="D19" s="188">
        <v>0</v>
      </c>
      <c r="E19" s="197">
        <f>D19-C19</f>
        <v>-300449.3200000003</v>
      </c>
      <c r="F19" s="216">
        <f>C19/D10</f>
        <v>6.3897957744126488E-2</v>
      </c>
      <c r="G19" s="188">
        <f>J3</f>
        <v>300449.32</v>
      </c>
      <c r="H19" s="197">
        <f>G19-C19</f>
        <v>0</v>
      </c>
      <c r="I19" s="189">
        <f>C19/G19-1</f>
        <v>0</v>
      </c>
      <c r="J19" s="2"/>
      <c r="K19" s="162"/>
      <c r="L19" s="2"/>
    </row>
    <row r="20" spans="1:23" ht="15" customHeight="1" x14ac:dyDescent="0.25">
      <c r="B20" s="36"/>
      <c r="C20" s="50"/>
      <c r="G20" s="50"/>
      <c r="H20" s="50"/>
      <c r="I20" s="59"/>
      <c r="J20" s="160"/>
      <c r="K20" s="162"/>
      <c r="L20" s="2"/>
    </row>
    <row r="21" spans="1:23" ht="4.5" customHeight="1" thickBot="1" x14ac:dyDescent="0.3">
      <c r="B21" s="46"/>
      <c r="C21" s="47"/>
      <c r="D21" s="47"/>
      <c r="E21" s="47"/>
      <c r="F21" s="47"/>
      <c r="G21" s="47"/>
      <c r="H21" s="47"/>
      <c r="I21" s="48"/>
      <c r="J21" s="48"/>
      <c r="K21" s="49"/>
    </row>
    <row r="22" spans="1:23" ht="3.9" customHeight="1" thickBot="1" x14ac:dyDescent="0.3"/>
    <row r="23" spans="1:23" ht="150.75" customHeight="1" x14ac:dyDescent="0.25">
      <c r="B23" s="484" t="s">
        <v>79</v>
      </c>
      <c r="C23" s="525" t="s">
        <v>431</v>
      </c>
      <c r="D23" s="526"/>
      <c r="E23" s="526"/>
      <c r="F23" s="526"/>
      <c r="G23" s="526"/>
      <c r="H23" s="526"/>
      <c r="I23" s="526"/>
      <c r="J23" s="526"/>
      <c r="K23" s="527"/>
      <c r="L23" s="142"/>
    </row>
    <row r="24" spans="1:23" s="1" customFormat="1" ht="170.25" customHeight="1" x14ac:dyDescent="0.25">
      <c r="A24" s="2"/>
      <c r="B24" s="486"/>
      <c r="C24" s="528"/>
      <c r="D24" s="529"/>
      <c r="E24" s="529"/>
      <c r="F24" s="529"/>
      <c r="G24" s="529"/>
      <c r="H24" s="529"/>
      <c r="I24" s="529"/>
      <c r="J24" s="529"/>
      <c r="K24" s="530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s="1" customFormat="1" ht="74.25" customHeight="1" thickBot="1" x14ac:dyDescent="0.3">
      <c r="A25" s="2"/>
      <c r="B25" s="486"/>
      <c r="C25" s="516" t="s">
        <v>427</v>
      </c>
      <c r="D25" s="517"/>
      <c r="E25" s="517"/>
      <c r="F25" s="517"/>
      <c r="G25" s="517"/>
      <c r="H25" s="517"/>
      <c r="I25" s="517"/>
      <c r="J25" s="517"/>
      <c r="K25" s="518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s="1" customFormat="1" ht="32.1" customHeight="1" x14ac:dyDescent="0.25">
      <c r="A26" s="2"/>
      <c r="B26" s="519" t="s">
        <v>63</v>
      </c>
      <c r="C26" s="520"/>
      <c r="D26" s="521" t="s">
        <v>428</v>
      </c>
      <c r="E26" s="522"/>
      <c r="F26" s="203" t="s">
        <v>170</v>
      </c>
      <c r="G26" s="205">
        <f>D12</f>
        <v>7334096.6300000008</v>
      </c>
      <c r="H26" s="523" t="str" cm="1">
        <f t="array" ref="H26">LOWER(fExtenso(G26,,"Real","Reais",,,,0))</f>
        <v>sete milhões trezentos e trinta e quatro mil e noventa e seis reais e sessenta e três centavos</v>
      </c>
      <c r="I26" s="524"/>
      <c r="J26" s="191" t="s">
        <v>168</v>
      </c>
      <c r="K26" s="204">
        <f>790/30</f>
        <v>26.333333333333332</v>
      </c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s="1" customFormat="1" ht="30.75" customHeight="1" x14ac:dyDescent="0.25">
      <c r="A27" s="2"/>
      <c r="B27" s="192" t="s">
        <v>66</v>
      </c>
      <c r="C27" s="175" t="s">
        <v>90</v>
      </c>
      <c r="D27" s="194" t="s">
        <v>162</v>
      </c>
      <c r="E27" s="177" t="s">
        <v>165</v>
      </c>
      <c r="F27" s="194" t="s">
        <v>169</v>
      </c>
      <c r="G27" s="177" t="s">
        <v>429</v>
      </c>
      <c r="H27" s="193" t="s">
        <v>115</v>
      </c>
      <c r="I27" s="179" t="s">
        <v>163</v>
      </c>
      <c r="J27" s="140" t="s">
        <v>167</v>
      </c>
      <c r="K27" s="201" t="s">
        <v>164</v>
      </c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s="1" customFormat="1" ht="39.9" customHeight="1" thickBot="1" x14ac:dyDescent="0.3">
      <c r="A28" s="2"/>
      <c r="B28" s="200" t="s">
        <v>67</v>
      </c>
      <c r="C28" s="176"/>
      <c r="D28" s="198" t="s">
        <v>67</v>
      </c>
      <c r="E28" s="178"/>
      <c r="F28" s="198" t="s">
        <v>67</v>
      </c>
      <c r="G28" s="178"/>
      <c r="H28" s="199" t="s">
        <v>67</v>
      </c>
      <c r="I28" s="180"/>
      <c r="J28" s="199" t="s">
        <v>67</v>
      </c>
      <c r="K28" s="20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1:23" s="1" customFormat="1" ht="15" customHeight="1" x14ac:dyDescent="0.25">
      <c r="A29" s="2"/>
      <c r="B29" s="2"/>
      <c r="C29" s="2"/>
      <c r="D29" s="2"/>
      <c r="E29" s="2"/>
      <c r="F29" s="2"/>
      <c r="G29" s="2"/>
      <c r="H29" s="2"/>
      <c r="I29" s="31"/>
      <c r="J29" s="31"/>
      <c r="K29" s="31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1:23" s="1" customFormat="1" ht="15" customHeight="1" x14ac:dyDescent="0.25">
      <c r="A30" s="2"/>
      <c r="B30" s="2"/>
      <c r="C30" s="2"/>
      <c r="D30" s="2"/>
      <c r="E30" s="2"/>
      <c r="F30" s="2"/>
      <c r="G30" s="2"/>
      <c r="H30" s="2"/>
      <c r="I30" s="31"/>
      <c r="J30" s="31"/>
      <c r="K30" s="31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1:23" s="1" customFormat="1" ht="15" customHeight="1" x14ac:dyDescent="0.25">
      <c r="A31" s="2"/>
      <c r="B31" s="2"/>
      <c r="C31" s="2"/>
      <c r="D31" s="2"/>
      <c r="E31" s="2"/>
      <c r="F31" s="2"/>
      <c r="G31" s="2"/>
      <c r="H31" s="2"/>
      <c r="I31" s="31"/>
      <c r="J31" s="31"/>
      <c r="K31" s="31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</sheetData>
  <sheetProtection formatCells="0" formatColumns="0" formatRows="0" insertRows="0" deleteRows="0"/>
  <dataConsolidate function="max"/>
  <mergeCells count="24">
    <mergeCell ref="J3:K3"/>
    <mergeCell ref="C1:H1"/>
    <mergeCell ref="I1:K1"/>
    <mergeCell ref="J2:K2"/>
    <mergeCell ref="E2:F2"/>
    <mergeCell ref="E3:F3"/>
    <mergeCell ref="B13:K13"/>
    <mergeCell ref="B8:K8"/>
    <mergeCell ref="B4:B5"/>
    <mergeCell ref="C4:I5"/>
    <mergeCell ref="J4:K4"/>
    <mergeCell ref="J5:K5"/>
    <mergeCell ref="B6:B7"/>
    <mergeCell ref="C6:I7"/>
    <mergeCell ref="J6:K6"/>
    <mergeCell ref="J7:K7"/>
    <mergeCell ref="B9:C9"/>
    <mergeCell ref="C25:K25"/>
    <mergeCell ref="B26:C26"/>
    <mergeCell ref="B23:B25"/>
    <mergeCell ref="D26:E26"/>
    <mergeCell ref="H26:I26"/>
    <mergeCell ref="C23:K23"/>
    <mergeCell ref="C24:K24"/>
  </mergeCells>
  <conditionalFormatting sqref="E9:K9">
    <cfRule type="expression" dxfId="8" priority="77" stopIfTrue="1">
      <formula>#REF!=""</formula>
    </cfRule>
  </conditionalFormatting>
  <conditionalFormatting sqref="D10:D12">
    <cfRule type="expression" dxfId="7" priority="19" stopIfTrue="1">
      <formula>#REF!=""</formula>
    </cfRule>
  </conditionalFormatting>
  <conditionalFormatting sqref="E11:E12">
    <cfRule type="expression" dxfId="6" priority="18" stopIfTrue="1">
      <formula>#REF!=""</formula>
    </cfRule>
  </conditionalFormatting>
  <conditionalFormatting sqref="K10:K12">
    <cfRule type="expression" dxfId="5" priority="3" stopIfTrue="1">
      <formula>#REF!=""</formula>
    </cfRule>
  </conditionalFormatting>
  <conditionalFormatting sqref="D9">
    <cfRule type="expression" dxfId="4" priority="1" stopIfTrue="1">
      <formula>#REF!=""</formula>
    </cfRule>
  </conditionalFormatting>
  <dataValidations count="3">
    <dataValidation type="list" allowBlank="1" showInputMessage="1" showErrorMessage="1" sqref="J7" xr:uid="{6DDEF251-A59C-47B4-8E4B-D4250D5602A3}">
      <formula1>"Sim, Não"</formula1>
    </dataValidation>
    <dataValidation type="list" allowBlank="1" showInputMessage="1" showErrorMessage="1" sqref="D3" xr:uid="{8AEA8FD3-1C94-437D-9F1C-6A4EF1B2799B}">
      <formula1>"1º TAC,2º TAC,3º TAC,4º TAC,5º TAC,6º TAC,7º TAC,8º TAC,9º TAC,10º TAC"</formula1>
    </dataValidation>
    <dataValidation type="list" allowBlank="1" showInputMessage="1" showErrorMessage="1" sqref="K10:K12" xr:uid="{E98419FA-860D-4CFA-BF86-237AA5DA70EF}">
      <formula1>"Contrato Original,Aditivo de Valor e Prazo,Aditivo de Valor,Aditivo de Prazo,Outros"</formula1>
    </dataValidation>
  </dataValidations>
  <printOptions horizontalCentered="1" verticalCentered="1"/>
  <pageMargins left="0.25" right="0.25" top="0.75" bottom="0.75" header="0.3" footer="0.3"/>
  <pageSetup paperSize="9" scale="40" fitToHeight="0" orientation="portrait" cellComments="asDisplayed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08BCE-5E81-4AD8-A79E-93A0D8D67E8A}">
  <dimension ref="A1:Q43"/>
  <sheetViews>
    <sheetView topLeftCell="A7" workbookViewId="0">
      <selection activeCell="R31" sqref="R31"/>
    </sheetView>
  </sheetViews>
  <sheetFormatPr defaultRowHeight="13.2" x14ac:dyDescent="0.25"/>
  <cols>
    <col min="1" max="1" width="2.6640625" style="218" customWidth="1"/>
    <col min="2" max="2" width="5.6640625" style="218" customWidth="1"/>
    <col min="3" max="3" width="12.109375" style="218" customWidth="1"/>
    <col min="4" max="6" width="15.6640625" style="218" customWidth="1"/>
    <col min="7" max="8" width="5.6640625" style="218" customWidth="1"/>
    <col min="9" max="9" width="15.6640625" style="218" customWidth="1"/>
    <col min="10" max="10" width="22.33203125" style="218" customWidth="1"/>
    <col min="11" max="11" width="5.6640625" style="218" customWidth="1"/>
    <col min="12" max="12" width="5.6640625" style="219" customWidth="1"/>
    <col min="13" max="13" width="17.88671875" style="218" customWidth="1"/>
    <col min="14" max="17" width="15.6640625" style="218" customWidth="1"/>
    <col min="18" max="256" width="9.109375" style="218"/>
    <col min="257" max="257" width="2.6640625" style="218" customWidth="1"/>
    <col min="258" max="258" width="5.6640625" style="218" customWidth="1"/>
    <col min="259" max="259" width="12.109375" style="218" customWidth="1"/>
    <col min="260" max="262" width="15.6640625" style="218" customWidth="1"/>
    <col min="263" max="264" width="5.6640625" style="218" customWidth="1"/>
    <col min="265" max="265" width="15.6640625" style="218" customWidth="1"/>
    <col min="266" max="266" width="22.33203125" style="218" customWidth="1"/>
    <col min="267" max="268" width="5.6640625" style="218" customWidth="1"/>
    <col min="269" max="269" width="17.88671875" style="218" customWidth="1"/>
    <col min="270" max="273" width="15.6640625" style="218" customWidth="1"/>
    <col min="274" max="512" width="9.109375" style="218"/>
    <col min="513" max="513" width="2.6640625" style="218" customWidth="1"/>
    <col min="514" max="514" width="5.6640625" style="218" customWidth="1"/>
    <col min="515" max="515" width="12.109375" style="218" customWidth="1"/>
    <col min="516" max="518" width="15.6640625" style="218" customWidth="1"/>
    <col min="519" max="520" width="5.6640625" style="218" customWidth="1"/>
    <col min="521" max="521" width="15.6640625" style="218" customWidth="1"/>
    <col min="522" max="522" width="22.33203125" style="218" customWidth="1"/>
    <col min="523" max="524" width="5.6640625" style="218" customWidth="1"/>
    <col min="525" max="525" width="17.88671875" style="218" customWidth="1"/>
    <col min="526" max="529" width="15.6640625" style="218" customWidth="1"/>
    <col min="530" max="768" width="9.109375" style="218"/>
    <col min="769" max="769" width="2.6640625" style="218" customWidth="1"/>
    <col min="770" max="770" width="5.6640625" style="218" customWidth="1"/>
    <col min="771" max="771" width="12.109375" style="218" customWidth="1"/>
    <col min="772" max="774" width="15.6640625" style="218" customWidth="1"/>
    <col min="775" max="776" width="5.6640625" style="218" customWidth="1"/>
    <col min="777" max="777" width="15.6640625" style="218" customWidth="1"/>
    <col min="778" max="778" width="22.33203125" style="218" customWidth="1"/>
    <col min="779" max="780" width="5.6640625" style="218" customWidth="1"/>
    <col min="781" max="781" width="17.88671875" style="218" customWidth="1"/>
    <col min="782" max="785" width="15.6640625" style="218" customWidth="1"/>
    <col min="786" max="1024" width="9.109375" style="218"/>
    <col min="1025" max="1025" width="2.6640625" style="218" customWidth="1"/>
    <col min="1026" max="1026" width="5.6640625" style="218" customWidth="1"/>
    <col min="1027" max="1027" width="12.109375" style="218" customWidth="1"/>
    <col min="1028" max="1030" width="15.6640625" style="218" customWidth="1"/>
    <col min="1031" max="1032" width="5.6640625" style="218" customWidth="1"/>
    <col min="1033" max="1033" width="15.6640625" style="218" customWidth="1"/>
    <col min="1034" max="1034" width="22.33203125" style="218" customWidth="1"/>
    <col min="1035" max="1036" width="5.6640625" style="218" customWidth="1"/>
    <col min="1037" max="1037" width="17.88671875" style="218" customWidth="1"/>
    <col min="1038" max="1041" width="15.6640625" style="218" customWidth="1"/>
    <col min="1042" max="1280" width="9.109375" style="218"/>
    <col min="1281" max="1281" width="2.6640625" style="218" customWidth="1"/>
    <col min="1282" max="1282" width="5.6640625" style="218" customWidth="1"/>
    <col min="1283" max="1283" width="12.109375" style="218" customWidth="1"/>
    <col min="1284" max="1286" width="15.6640625" style="218" customWidth="1"/>
    <col min="1287" max="1288" width="5.6640625" style="218" customWidth="1"/>
    <col min="1289" max="1289" width="15.6640625" style="218" customWidth="1"/>
    <col min="1290" max="1290" width="22.33203125" style="218" customWidth="1"/>
    <col min="1291" max="1292" width="5.6640625" style="218" customWidth="1"/>
    <col min="1293" max="1293" width="17.88671875" style="218" customWidth="1"/>
    <col min="1294" max="1297" width="15.6640625" style="218" customWidth="1"/>
    <col min="1298" max="1536" width="9.109375" style="218"/>
    <col min="1537" max="1537" width="2.6640625" style="218" customWidth="1"/>
    <col min="1538" max="1538" width="5.6640625" style="218" customWidth="1"/>
    <col min="1539" max="1539" width="12.109375" style="218" customWidth="1"/>
    <col min="1540" max="1542" width="15.6640625" style="218" customWidth="1"/>
    <col min="1543" max="1544" width="5.6640625" style="218" customWidth="1"/>
    <col min="1545" max="1545" width="15.6640625" style="218" customWidth="1"/>
    <col min="1546" max="1546" width="22.33203125" style="218" customWidth="1"/>
    <col min="1547" max="1548" width="5.6640625" style="218" customWidth="1"/>
    <col min="1549" max="1549" width="17.88671875" style="218" customWidth="1"/>
    <col min="1550" max="1553" width="15.6640625" style="218" customWidth="1"/>
    <col min="1554" max="1792" width="9.109375" style="218"/>
    <col min="1793" max="1793" width="2.6640625" style="218" customWidth="1"/>
    <col min="1794" max="1794" width="5.6640625" style="218" customWidth="1"/>
    <col min="1795" max="1795" width="12.109375" style="218" customWidth="1"/>
    <col min="1796" max="1798" width="15.6640625" style="218" customWidth="1"/>
    <col min="1799" max="1800" width="5.6640625" style="218" customWidth="1"/>
    <col min="1801" max="1801" width="15.6640625" style="218" customWidth="1"/>
    <col min="1802" max="1802" width="22.33203125" style="218" customWidth="1"/>
    <col min="1803" max="1804" width="5.6640625" style="218" customWidth="1"/>
    <col min="1805" max="1805" width="17.88671875" style="218" customWidth="1"/>
    <col min="1806" max="1809" width="15.6640625" style="218" customWidth="1"/>
    <col min="1810" max="2048" width="9.109375" style="218"/>
    <col min="2049" max="2049" width="2.6640625" style="218" customWidth="1"/>
    <col min="2050" max="2050" width="5.6640625" style="218" customWidth="1"/>
    <col min="2051" max="2051" width="12.109375" style="218" customWidth="1"/>
    <col min="2052" max="2054" width="15.6640625" style="218" customWidth="1"/>
    <col min="2055" max="2056" width="5.6640625" style="218" customWidth="1"/>
    <col min="2057" max="2057" width="15.6640625" style="218" customWidth="1"/>
    <col min="2058" max="2058" width="22.33203125" style="218" customWidth="1"/>
    <col min="2059" max="2060" width="5.6640625" style="218" customWidth="1"/>
    <col min="2061" max="2061" width="17.88671875" style="218" customWidth="1"/>
    <col min="2062" max="2065" width="15.6640625" style="218" customWidth="1"/>
    <col min="2066" max="2304" width="9.109375" style="218"/>
    <col min="2305" max="2305" width="2.6640625" style="218" customWidth="1"/>
    <col min="2306" max="2306" width="5.6640625" style="218" customWidth="1"/>
    <col min="2307" max="2307" width="12.109375" style="218" customWidth="1"/>
    <col min="2308" max="2310" width="15.6640625" style="218" customWidth="1"/>
    <col min="2311" max="2312" width="5.6640625" style="218" customWidth="1"/>
    <col min="2313" max="2313" width="15.6640625" style="218" customWidth="1"/>
    <col min="2314" max="2314" width="22.33203125" style="218" customWidth="1"/>
    <col min="2315" max="2316" width="5.6640625" style="218" customWidth="1"/>
    <col min="2317" max="2317" width="17.88671875" style="218" customWidth="1"/>
    <col min="2318" max="2321" width="15.6640625" style="218" customWidth="1"/>
    <col min="2322" max="2560" width="9.109375" style="218"/>
    <col min="2561" max="2561" width="2.6640625" style="218" customWidth="1"/>
    <col min="2562" max="2562" width="5.6640625" style="218" customWidth="1"/>
    <col min="2563" max="2563" width="12.109375" style="218" customWidth="1"/>
    <col min="2564" max="2566" width="15.6640625" style="218" customWidth="1"/>
    <col min="2567" max="2568" width="5.6640625" style="218" customWidth="1"/>
    <col min="2569" max="2569" width="15.6640625" style="218" customWidth="1"/>
    <col min="2570" max="2570" width="22.33203125" style="218" customWidth="1"/>
    <col min="2571" max="2572" width="5.6640625" style="218" customWidth="1"/>
    <col min="2573" max="2573" width="17.88671875" style="218" customWidth="1"/>
    <col min="2574" max="2577" width="15.6640625" style="218" customWidth="1"/>
    <col min="2578" max="2816" width="9.109375" style="218"/>
    <col min="2817" max="2817" width="2.6640625" style="218" customWidth="1"/>
    <col min="2818" max="2818" width="5.6640625" style="218" customWidth="1"/>
    <col min="2819" max="2819" width="12.109375" style="218" customWidth="1"/>
    <col min="2820" max="2822" width="15.6640625" style="218" customWidth="1"/>
    <col min="2823" max="2824" width="5.6640625" style="218" customWidth="1"/>
    <col min="2825" max="2825" width="15.6640625" style="218" customWidth="1"/>
    <col min="2826" max="2826" width="22.33203125" style="218" customWidth="1"/>
    <col min="2827" max="2828" width="5.6640625" style="218" customWidth="1"/>
    <col min="2829" max="2829" width="17.88671875" style="218" customWidth="1"/>
    <col min="2830" max="2833" width="15.6640625" style="218" customWidth="1"/>
    <col min="2834" max="3072" width="9.109375" style="218"/>
    <col min="3073" max="3073" width="2.6640625" style="218" customWidth="1"/>
    <col min="3074" max="3074" width="5.6640625" style="218" customWidth="1"/>
    <col min="3075" max="3075" width="12.109375" style="218" customWidth="1"/>
    <col min="3076" max="3078" width="15.6640625" style="218" customWidth="1"/>
    <col min="3079" max="3080" width="5.6640625" style="218" customWidth="1"/>
    <col min="3081" max="3081" width="15.6640625" style="218" customWidth="1"/>
    <col min="3082" max="3082" width="22.33203125" style="218" customWidth="1"/>
    <col min="3083" max="3084" width="5.6640625" style="218" customWidth="1"/>
    <col min="3085" max="3085" width="17.88671875" style="218" customWidth="1"/>
    <col min="3086" max="3089" width="15.6640625" style="218" customWidth="1"/>
    <col min="3090" max="3328" width="9.109375" style="218"/>
    <col min="3329" max="3329" width="2.6640625" style="218" customWidth="1"/>
    <col min="3330" max="3330" width="5.6640625" style="218" customWidth="1"/>
    <col min="3331" max="3331" width="12.109375" style="218" customWidth="1"/>
    <col min="3332" max="3334" width="15.6640625" style="218" customWidth="1"/>
    <col min="3335" max="3336" width="5.6640625" style="218" customWidth="1"/>
    <col min="3337" max="3337" width="15.6640625" style="218" customWidth="1"/>
    <col min="3338" max="3338" width="22.33203125" style="218" customWidth="1"/>
    <col min="3339" max="3340" width="5.6640625" style="218" customWidth="1"/>
    <col min="3341" max="3341" width="17.88671875" style="218" customWidth="1"/>
    <col min="3342" max="3345" width="15.6640625" style="218" customWidth="1"/>
    <col min="3346" max="3584" width="9.109375" style="218"/>
    <col min="3585" max="3585" width="2.6640625" style="218" customWidth="1"/>
    <col min="3586" max="3586" width="5.6640625" style="218" customWidth="1"/>
    <col min="3587" max="3587" width="12.109375" style="218" customWidth="1"/>
    <col min="3588" max="3590" width="15.6640625" style="218" customWidth="1"/>
    <col min="3591" max="3592" width="5.6640625" style="218" customWidth="1"/>
    <col min="3593" max="3593" width="15.6640625" style="218" customWidth="1"/>
    <col min="3594" max="3594" width="22.33203125" style="218" customWidth="1"/>
    <col min="3595" max="3596" width="5.6640625" style="218" customWidth="1"/>
    <col min="3597" max="3597" width="17.88671875" style="218" customWidth="1"/>
    <col min="3598" max="3601" width="15.6640625" style="218" customWidth="1"/>
    <col min="3602" max="3840" width="9.109375" style="218"/>
    <col min="3841" max="3841" width="2.6640625" style="218" customWidth="1"/>
    <col min="3842" max="3842" width="5.6640625" style="218" customWidth="1"/>
    <col min="3843" max="3843" width="12.109375" style="218" customWidth="1"/>
    <col min="3844" max="3846" width="15.6640625" style="218" customWidth="1"/>
    <col min="3847" max="3848" width="5.6640625" style="218" customWidth="1"/>
    <col min="3849" max="3849" width="15.6640625" style="218" customWidth="1"/>
    <col min="3850" max="3850" width="22.33203125" style="218" customWidth="1"/>
    <col min="3851" max="3852" width="5.6640625" style="218" customWidth="1"/>
    <col min="3853" max="3853" width="17.88671875" style="218" customWidth="1"/>
    <col min="3854" max="3857" width="15.6640625" style="218" customWidth="1"/>
    <col min="3858" max="4096" width="9.109375" style="218"/>
    <col min="4097" max="4097" width="2.6640625" style="218" customWidth="1"/>
    <col min="4098" max="4098" width="5.6640625" style="218" customWidth="1"/>
    <col min="4099" max="4099" width="12.109375" style="218" customWidth="1"/>
    <col min="4100" max="4102" width="15.6640625" style="218" customWidth="1"/>
    <col min="4103" max="4104" width="5.6640625" style="218" customWidth="1"/>
    <col min="4105" max="4105" width="15.6640625" style="218" customWidth="1"/>
    <col min="4106" max="4106" width="22.33203125" style="218" customWidth="1"/>
    <col min="4107" max="4108" width="5.6640625" style="218" customWidth="1"/>
    <col min="4109" max="4109" width="17.88671875" style="218" customWidth="1"/>
    <col min="4110" max="4113" width="15.6640625" style="218" customWidth="1"/>
    <col min="4114" max="4352" width="9.109375" style="218"/>
    <col min="4353" max="4353" width="2.6640625" style="218" customWidth="1"/>
    <col min="4354" max="4354" width="5.6640625" style="218" customWidth="1"/>
    <col min="4355" max="4355" width="12.109375" style="218" customWidth="1"/>
    <col min="4356" max="4358" width="15.6640625" style="218" customWidth="1"/>
    <col min="4359" max="4360" width="5.6640625" style="218" customWidth="1"/>
    <col min="4361" max="4361" width="15.6640625" style="218" customWidth="1"/>
    <col min="4362" max="4362" width="22.33203125" style="218" customWidth="1"/>
    <col min="4363" max="4364" width="5.6640625" style="218" customWidth="1"/>
    <col min="4365" max="4365" width="17.88671875" style="218" customWidth="1"/>
    <col min="4366" max="4369" width="15.6640625" style="218" customWidth="1"/>
    <col min="4370" max="4608" width="9.109375" style="218"/>
    <col min="4609" max="4609" width="2.6640625" style="218" customWidth="1"/>
    <col min="4610" max="4610" width="5.6640625" style="218" customWidth="1"/>
    <col min="4611" max="4611" width="12.109375" style="218" customWidth="1"/>
    <col min="4612" max="4614" width="15.6640625" style="218" customWidth="1"/>
    <col min="4615" max="4616" width="5.6640625" style="218" customWidth="1"/>
    <col min="4617" max="4617" width="15.6640625" style="218" customWidth="1"/>
    <col min="4618" max="4618" width="22.33203125" style="218" customWidth="1"/>
    <col min="4619" max="4620" width="5.6640625" style="218" customWidth="1"/>
    <col min="4621" max="4621" width="17.88671875" style="218" customWidth="1"/>
    <col min="4622" max="4625" width="15.6640625" style="218" customWidth="1"/>
    <col min="4626" max="4864" width="9.109375" style="218"/>
    <col min="4865" max="4865" width="2.6640625" style="218" customWidth="1"/>
    <col min="4866" max="4866" width="5.6640625" style="218" customWidth="1"/>
    <col min="4867" max="4867" width="12.109375" style="218" customWidth="1"/>
    <col min="4868" max="4870" width="15.6640625" style="218" customWidth="1"/>
    <col min="4871" max="4872" width="5.6640625" style="218" customWidth="1"/>
    <col min="4873" max="4873" width="15.6640625" style="218" customWidth="1"/>
    <col min="4874" max="4874" width="22.33203125" style="218" customWidth="1"/>
    <col min="4875" max="4876" width="5.6640625" style="218" customWidth="1"/>
    <col min="4877" max="4877" width="17.88671875" style="218" customWidth="1"/>
    <col min="4878" max="4881" width="15.6640625" style="218" customWidth="1"/>
    <col min="4882" max="5120" width="9.109375" style="218"/>
    <col min="5121" max="5121" width="2.6640625" style="218" customWidth="1"/>
    <col min="5122" max="5122" width="5.6640625" style="218" customWidth="1"/>
    <col min="5123" max="5123" width="12.109375" style="218" customWidth="1"/>
    <col min="5124" max="5126" width="15.6640625" style="218" customWidth="1"/>
    <col min="5127" max="5128" width="5.6640625" style="218" customWidth="1"/>
    <col min="5129" max="5129" width="15.6640625" style="218" customWidth="1"/>
    <col min="5130" max="5130" width="22.33203125" style="218" customWidth="1"/>
    <col min="5131" max="5132" width="5.6640625" style="218" customWidth="1"/>
    <col min="5133" max="5133" width="17.88671875" style="218" customWidth="1"/>
    <col min="5134" max="5137" width="15.6640625" style="218" customWidth="1"/>
    <col min="5138" max="5376" width="9.109375" style="218"/>
    <col min="5377" max="5377" width="2.6640625" style="218" customWidth="1"/>
    <col min="5378" max="5378" width="5.6640625" style="218" customWidth="1"/>
    <col min="5379" max="5379" width="12.109375" style="218" customWidth="1"/>
    <col min="5380" max="5382" width="15.6640625" style="218" customWidth="1"/>
    <col min="5383" max="5384" width="5.6640625" style="218" customWidth="1"/>
    <col min="5385" max="5385" width="15.6640625" style="218" customWidth="1"/>
    <col min="5386" max="5386" width="22.33203125" style="218" customWidth="1"/>
    <col min="5387" max="5388" width="5.6640625" style="218" customWidth="1"/>
    <col min="5389" max="5389" width="17.88671875" style="218" customWidth="1"/>
    <col min="5390" max="5393" width="15.6640625" style="218" customWidth="1"/>
    <col min="5394" max="5632" width="9.109375" style="218"/>
    <col min="5633" max="5633" width="2.6640625" style="218" customWidth="1"/>
    <col min="5634" max="5634" width="5.6640625" style="218" customWidth="1"/>
    <col min="5635" max="5635" width="12.109375" style="218" customWidth="1"/>
    <col min="5636" max="5638" width="15.6640625" style="218" customWidth="1"/>
    <col min="5639" max="5640" width="5.6640625" style="218" customWidth="1"/>
    <col min="5641" max="5641" width="15.6640625" style="218" customWidth="1"/>
    <col min="5642" max="5642" width="22.33203125" style="218" customWidth="1"/>
    <col min="5643" max="5644" width="5.6640625" style="218" customWidth="1"/>
    <col min="5645" max="5645" width="17.88671875" style="218" customWidth="1"/>
    <col min="5646" max="5649" width="15.6640625" style="218" customWidth="1"/>
    <col min="5650" max="5888" width="9.109375" style="218"/>
    <col min="5889" max="5889" width="2.6640625" style="218" customWidth="1"/>
    <col min="5890" max="5890" width="5.6640625" style="218" customWidth="1"/>
    <col min="5891" max="5891" width="12.109375" style="218" customWidth="1"/>
    <col min="5892" max="5894" width="15.6640625" style="218" customWidth="1"/>
    <col min="5895" max="5896" width="5.6640625" style="218" customWidth="1"/>
    <col min="5897" max="5897" width="15.6640625" style="218" customWidth="1"/>
    <col min="5898" max="5898" width="22.33203125" style="218" customWidth="1"/>
    <col min="5899" max="5900" width="5.6640625" style="218" customWidth="1"/>
    <col min="5901" max="5901" width="17.88671875" style="218" customWidth="1"/>
    <col min="5902" max="5905" width="15.6640625" style="218" customWidth="1"/>
    <col min="5906" max="6144" width="9.109375" style="218"/>
    <col min="6145" max="6145" width="2.6640625" style="218" customWidth="1"/>
    <col min="6146" max="6146" width="5.6640625" style="218" customWidth="1"/>
    <col min="6147" max="6147" width="12.109375" style="218" customWidth="1"/>
    <col min="6148" max="6150" width="15.6640625" style="218" customWidth="1"/>
    <col min="6151" max="6152" width="5.6640625" style="218" customWidth="1"/>
    <col min="6153" max="6153" width="15.6640625" style="218" customWidth="1"/>
    <col min="6154" max="6154" width="22.33203125" style="218" customWidth="1"/>
    <col min="6155" max="6156" width="5.6640625" style="218" customWidth="1"/>
    <col min="6157" max="6157" width="17.88671875" style="218" customWidth="1"/>
    <col min="6158" max="6161" width="15.6640625" style="218" customWidth="1"/>
    <col min="6162" max="6400" width="9.109375" style="218"/>
    <col min="6401" max="6401" width="2.6640625" style="218" customWidth="1"/>
    <col min="6402" max="6402" width="5.6640625" style="218" customWidth="1"/>
    <col min="6403" max="6403" width="12.109375" style="218" customWidth="1"/>
    <col min="6404" max="6406" width="15.6640625" style="218" customWidth="1"/>
    <col min="6407" max="6408" width="5.6640625" style="218" customWidth="1"/>
    <col min="6409" max="6409" width="15.6640625" style="218" customWidth="1"/>
    <col min="6410" max="6410" width="22.33203125" style="218" customWidth="1"/>
    <col min="6411" max="6412" width="5.6640625" style="218" customWidth="1"/>
    <col min="6413" max="6413" width="17.88671875" style="218" customWidth="1"/>
    <col min="6414" max="6417" width="15.6640625" style="218" customWidth="1"/>
    <col min="6418" max="6656" width="9.109375" style="218"/>
    <col min="6657" max="6657" width="2.6640625" style="218" customWidth="1"/>
    <col min="6658" max="6658" width="5.6640625" style="218" customWidth="1"/>
    <col min="6659" max="6659" width="12.109375" style="218" customWidth="1"/>
    <col min="6660" max="6662" width="15.6640625" style="218" customWidth="1"/>
    <col min="6663" max="6664" width="5.6640625" style="218" customWidth="1"/>
    <col min="6665" max="6665" width="15.6640625" style="218" customWidth="1"/>
    <col min="6666" max="6666" width="22.33203125" style="218" customWidth="1"/>
    <col min="6667" max="6668" width="5.6640625" style="218" customWidth="1"/>
    <col min="6669" max="6669" width="17.88671875" style="218" customWidth="1"/>
    <col min="6670" max="6673" width="15.6640625" style="218" customWidth="1"/>
    <col min="6674" max="6912" width="9.109375" style="218"/>
    <col min="6913" max="6913" width="2.6640625" style="218" customWidth="1"/>
    <col min="6914" max="6914" width="5.6640625" style="218" customWidth="1"/>
    <col min="6915" max="6915" width="12.109375" style="218" customWidth="1"/>
    <col min="6916" max="6918" width="15.6640625" style="218" customWidth="1"/>
    <col min="6919" max="6920" width="5.6640625" style="218" customWidth="1"/>
    <col min="6921" max="6921" width="15.6640625" style="218" customWidth="1"/>
    <col min="6922" max="6922" width="22.33203125" style="218" customWidth="1"/>
    <col min="6923" max="6924" width="5.6640625" style="218" customWidth="1"/>
    <col min="6925" max="6925" width="17.88671875" style="218" customWidth="1"/>
    <col min="6926" max="6929" width="15.6640625" style="218" customWidth="1"/>
    <col min="6930" max="7168" width="9.109375" style="218"/>
    <col min="7169" max="7169" width="2.6640625" style="218" customWidth="1"/>
    <col min="7170" max="7170" width="5.6640625" style="218" customWidth="1"/>
    <col min="7171" max="7171" width="12.109375" style="218" customWidth="1"/>
    <col min="7172" max="7174" width="15.6640625" style="218" customWidth="1"/>
    <col min="7175" max="7176" width="5.6640625" style="218" customWidth="1"/>
    <col min="7177" max="7177" width="15.6640625" style="218" customWidth="1"/>
    <col min="7178" max="7178" width="22.33203125" style="218" customWidth="1"/>
    <col min="7179" max="7180" width="5.6640625" style="218" customWidth="1"/>
    <col min="7181" max="7181" width="17.88671875" style="218" customWidth="1"/>
    <col min="7182" max="7185" width="15.6640625" style="218" customWidth="1"/>
    <col min="7186" max="7424" width="9.109375" style="218"/>
    <col min="7425" max="7425" width="2.6640625" style="218" customWidth="1"/>
    <col min="7426" max="7426" width="5.6640625" style="218" customWidth="1"/>
    <col min="7427" max="7427" width="12.109375" style="218" customWidth="1"/>
    <col min="7428" max="7430" width="15.6640625" style="218" customWidth="1"/>
    <col min="7431" max="7432" width="5.6640625" style="218" customWidth="1"/>
    <col min="7433" max="7433" width="15.6640625" style="218" customWidth="1"/>
    <col min="7434" max="7434" width="22.33203125" style="218" customWidth="1"/>
    <col min="7435" max="7436" width="5.6640625" style="218" customWidth="1"/>
    <col min="7437" max="7437" width="17.88671875" style="218" customWidth="1"/>
    <col min="7438" max="7441" width="15.6640625" style="218" customWidth="1"/>
    <col min="7442" max="7680" width="9.109375" style="218"/>
    <col min="7681" max="7681" width="2.6640625" style="218" customWidth="1"/>
    <col min="7682" max="7682" width="5.6640625" style="218" customWidth="1"/>
    <col min="7683" max="7683" width="12.109375" style="218" customWidth="1"/>
    <col min="7684" max="7686" width="15.6640625" style="218" customWidth="1"/>
    <col min="7687" max="7688" width="5.6640625" style="218" customWidth="1"/>
    <col min="7689" max="7689" width="15.6640625" style="218" customWidth="1"/>
    <col min="7690" max="7690" width="22.33203125" style="218" customWidth="1"/>
    <col min="7691" max="7692" width="5.6640625" style="218" customWidth="1"/>
    <col min="7693" max="7693" width="17.88671875" style="218" customWidth="1"/>
    <col min="7694" max="7697" width="15.6640625" style="218" customWidth="1"/>
    <col min="7698" max="7936" width="9.109375" style="218"/>
    <col min="7937" max="7937" width="2.6640625" style="218" customWidth="1"/>
    <col min="7938" max="7938" width="5.6640625" style="218" customWidth="1"/>
    <col min="7939" max="7939" width="12.109375" style="218" customWidth="1"/>
    <col min="7940" max="7942" width="15.6640625" style="218" customWidth="1"/>
    <col min="7943" max="7944" width="5.6640625" style="218" customWidth="1"/>
    <col min="7945" max="7945" width="15.6640625" style="218" customWidth="1"/>
    <col min="7946" max="7946" width="22.33203125" style="218" customWidth="1"/>
    <col min="7947" max="7948" width="5.6640625" style="218" customWidth="1"/>
    <col min="7949" max="7949" width="17.88671875" style="218" customWidth="1"/>
    <col min="7950" max="7953" width="15.6640625" style="218" customWidth="1"/>
    <col min="7954" max="8192" width="9.109375" style="218"/>
    <col min="8193" max="8193" width="2.6640625" style="218" customWidth="1"/>
    <col min="8194" max="8194" width="5.6640625" style="218" customWidth="1"/>
    <col min="8195" max="8195" width="12.109375" style="218" customWidth="1"/>
    <col min="8196" max="8198" width="15.6640625" style="218" customWidth="1"/>
    <col min="8199" max="8200" width="5.6640625" style="218" customWidth="1"/>
    <col min="8201" max="8201" width="15.6640625" style="218" customWidth="1"/>
    <col min="8202" max="8202" width="22.33203125" style="218" customWidth="1"/>
    <col min="8203" max="8204" width="5.6640625" style="218" customWidth="1"/>
    <col min="8205" max="8205" width="17.88671875" style="218" customWidth="1"/>
    <col min="8206" max="8209" width="15.6640625" style="218" customWidth="1"/>
    <col min="8210" max="8448" width="9.109375" style="218"/>
    <col min="8449" max="8449" width="2.6640625" style="218" customWidth="1"/>
    <col min="8450" max="8450" width="5.6640625" style="218" customWidth="1"/>
    <col min="8451" max="8451" width="12.109375" style="218" customWidth="1"/>
    <col min="8452" max="8454" width="15.6640625" style="218" customWidth="1"/>
    <col min="8455" max="8456" width="5.6640625" style="218" customWidth="1"/>
    <col min="8457" max="8457" width="15.6640625" style="218" customWidth="1"/>
    <col min="8458" max="8458" width="22.33203125" style="218" customWidth="1"/>
    <col min="8459" max="8460" width="5.6640625" style="218" customWidth="1"/>
    <col min="8461" max="8461" width="17.88671875" style="218" customWidth="1"/>
    <col min="8462" max="8465" width="15.6640625" style="218" customWidth="1"/>
    <col min="8466" max="8704" width="9.109375" style="218"/>
    <col min="8705" max="8705" width="2.6640625" style="218" customWidth="1"/>
    <col min="8706" max="8706" width="5.6640625" style="218" customWidth="1"/>
    <col min="8707" max="8707" width="12.109375" style="218" customWidth="1"/>
    <col min="8708" max="8710" width="15.6640625" style="218" customWidth="1"/>
    <col min="8711" max="8712" width="5.6640625" style="218" customWidth="1"/>
    <col min="8713" max="8713" width="15.6640625" style="218" customWidth="1"/>
    <col min="8714" max="8714" width="22.33203125" style="218" customWidth="1"/>
    <col min="8715" max="8716" width="5.6640625" style="218" customWidth="1"/>
    <col min="8717" max="8717" width="17.88671875" style="218" customWidth="1"/>
    <col min="8718" max="8721" width="15.6640625" style="218" customWidth="1"/>
    <col min="8722" max="8960" width="9.109375" style="218"/>
    <col min="8961" max="8961" width="2.6640625" style="218" customWidth="1"/>
    <col min="8962" max="8962" width="5.6640625" style="218" customWidth="1"/>
    <col min="8963" max="8963" width="12.109375" style="218" customWidth="1"/>
    <col min="8964" max="8966" width="15.6640625" style="218" customWidth="1"/>
    <col min="8967" max="8968" width="5.6640625" style="218" customWidth="1"/>
    <col min="8969" max="8969" width="15.6640625" style="218" customWidth="1"/>
    <col min="8970" max="8970" width="22.33203125" style="218" customWidth="1"/>
    <col min="8971" max="8972" width="5.6640625" style="218" customWidth="1"/>
    <col min="8973" max="8973" width="17.88671875" style="218" customWidth="1"/>
    <col min="8974" max="8977" width="15.6640625" style="218" customWidth="1"/>
    <col min="8978" max="9216" width="9.109375" style="218"/>
    <col min="9217" max="9217" width="2.6640625" style="218" customWidth="1"/>
    <col min="9218" max="9218" width="5.6640625" style="218" customWidth="1"/>
    <col min="9219" max="9219" width="12.109375" style="218" customWidth="1"/>
    <col min="9220" max="9222" width="15.6640625" style="218" customWidth="1"/>
    <col min="9223" max="9224" width="5.6640625" style="218" customWidth="1"/>
    <col min="9225" max="9225" width="15.6640625" style="218" customWidth="1"/>
    <col min="9226" max="9226" width="22.33203125" style="218" customWidth="1"/>
    <col min="9227" max="9228" width="5.6640625" style="218" customWidth="1"/>
    <col min="9229" max="9229" width="17.88671875" style="218" customWidth="1"/>
    <col min="9230" max="9233" width="15.6640625" style="218" customWidth="1"/>
    <col min="9234" max="9472" width="9.109375" style="218"/>
    <col min="9473" max="9473" width="2.6640625" style="218" customWidth="1"/>
    <col min="9474" max="9474" width="5.6640625" style="218" customWidth="1"/>
    <col min="9475" max="9475" width="12.109375" style="218" customWidth="1"/>
    <col min="9476" max="9478" width="15.6640625" style="218" customWidth="1"/>
    <col min="9479" max="9480" width="5.6640625" style="218" customWidth="1"/>
    <col min="9481" max="9481" width="15.6640625" style="218" customWidth="1"/>
    <col min="9482" max="9482" width="22.33203125" style="218" customWidth="1"/>
    <col min="9483" max="9484" width="5.6640625" style="218" customWidth="1"/>
    <col min="9485" max="9485" width="17.88671875" style="218" customWidth="1"/>
    <col min="9486" max="9489" width="15.6640625" style="218" customWidth="1"/>
    <col min="9490" max="9728" width="9.109375" style="218"/>
    <col min="9729" max="9729" width="2.6640625" style="218" customWidth="1"/>
    <col min="9730" max="9730" width="5.6640625" style="218" customWidth="1"/>
    <col min="9731" max="9731" width="12.109375" style="218" customWidth="1"/>
    <col min="9732" max="9734" width="15.6640625" style="218" customWidth="1"/>
    <col min="9735" max="9736" width="5.6640625" style="218" customWidth="1"/>
    <col min="9737" max="9737" width="15.6640625" style="218" customWidth="1"/>
    <col min="9738" max="9738" width="22.33203125" style="218" customWidth="1"/>
    <col min="9739" max="9740" width="5.6640625" style="218" customWidth="1"/>
    <col min="9741" max="9741" width="17.88671875" style="218" customWidth="1"/>
    <col min="9742" max="9745" width="15.6640625" style="218" customWidth="1"/>
    <col min="9746" max="9984" width="9.109375" style="218"/>
    <col min="9985" max="9985" width="2.6640625" style="218" customWidth="1"/>
    <col min="9986" max="9986" width="5.6640625" style="218" customWidth="1"/>
    <col min="9987" max="9987" width="12.109375" style="218" customWidth="1"/>
    <col min="9988" max="9990" width="15.6640625" style="218" customWidth="1"/>
    <col min="9991" max="9992" width="5.6640625" style="218" customWidth="1"/>
    <col min="9993" max="9993" width="15.6640625" style="218" customWidth="1"/>
    <col min="9994" max="9994" width="22.33203125" style="218" customWidth="1"/>
    <col min="9995" max="9996" width="5.6640625" style="218" customWidth="1"/>
    <col min="9997" max="9997" width="17.88671875" style="218" customWidth="1"/>
    <col min="9998" max="10001" width="15.6640625" style="218" customWidth="1"/>
    <col min="10002" max="10240" width="9.109375" style="218"/>
    <col min="10241" max="10241" width="2.6640625" style="218" customWidth="1"/>
    <col min="10242" max="10242" width="5.6640625" style="218" customWidth="1"/>
    <col min="10243" max="10243" width="12.109375" style="218" customWidth="1"/>
    <col min="10244" max="10246" width="15.6640625" style="218" customWidth="1"/>
    <col min="10247" max="10248" width="5.6640625" style="218" customWidth="1"/>
    <col min="10249" max="10249" width="15.6640625" style="218" customWidth="1"/>
    <col min="10250" max="10250" width="22.33203125" style="218" customWidth="1"/>
    <col min="10251" max="10252" width="5.6640625" style="218" customWidth="1"/>
    <col min="10253" max="10253" width="17.88671875" style="218" customWidth="1"/>
    <col min="10254" max="10257" width="15.6640625" style="218" customWidth="1"/>
    <col min="10258" max="10496" width="9.109375" style="218"/>
    <col min="10497" max="10497" width="2.6640625" style="218" customWidth="1"/>
    <col min="10498" max="10498" width="5.6640625" style="218" customWidth="1"/>
    <col min="10499" max="10499" width="12.109375" style="218" customWidth="1"/>
    <col min="10500" max="10502" width="15.6640625" style="218" customWidth="1"/>
    <col min="10503" max="10504" width="5.6640625" style="218" customWidth="1"/>
    <col min="10505" max="10505" width="15.6640625" style="218" customWidth="1"/>
    <col min="10506" max="10506" width="22.33203125" style="218" customWidth="1"/>
    <col min="10507" max="10508" width="5.6640625" style="218" customWidth="1"/>
    <col min="10509" max="10509" width="17.88671875" style="218" customWidth="1"/>
    <col min="10510" max="10513" width="15.6640625" style="218" customWidth="1"/>
    <col min="10514" max="10752" width="9.109375" style="218"/>
    <col min="10753" max="10753" width="2.6640625" style="218" customWidth="1"/>
    <col min="10754" max="10754" width="5.6640625" style="218" customWidth="1"/>
    <col min="10755" max="10755" width="12.109375" style="218" customWidth="1"/>
    <col min="10756" max="10758" width="15.6640625" style="218" customWidth="1"/>
    <col min="10759" max="10760" width="5.6640625" style="218" customWidth="1"/>
    <col min="10761" max="10761" width="15.6640625" style="218" customWidth="1"/>
    <col min="10762" max="10762" width="22.33203125" style="218" customWidth="1"/>
    <col min="10763" max="10764" width="5.6640625" style="218" customWidth="1"/>
    <col min="10765" max="10765" width="17.88671875" style="218" customWidth="1"/>
    <col min="10766" max="10769" width="15.6640625" style="218" customWidth="1"/>
    <col min="10770" max="11008" width="9.109375" style="218"/>
    <col min="11009" max="11009" width="2.6640625" style="218" customWidth="1"/>
    <col min="11010" max="11010" width="5.6640625" style="218" customWidth="1"/>
    <col min="11011" max="11011" width="12.109375" style="218" customWidth="1"/>
    <col min="11012" max="11014" width="15.6640625" style="218" customWidth="1"/>
    <col min="11015" max="11016" width="5.6640625" style="218" customWidth="1"/>
    <col min="11017" max="11017" width="15.6640625" style="218" customWidth="1"/>
    <col min="11018" max="11018" width="22.33203125" style="218" customWidth="1"/>
    <col min="11019" max="11020" width="5.6640625" style="218" customWidth="1"/>
    <col min="11021" max="11021" width="17.88671875" style="218" customWidth="1"/>
    <col min="11022" max="11025" width="15.6640625" style="218" customWidth="1"/>
    <col min="11026" max="11264" width="9.109375" style="218"/>
    <col min="11265" max="11265" width="2.6640625" style="218" customWidth="1"/>
    <col min="11266" max="11266" width="5.6640625" style="218" customWidth="1"/>
    <col min="11267" max="11267" width="12.109375" style="218" customWidth="1"/>
    <col min="11268" max="11270" width="15.6640625" style="218" customWidth="1"/>
    <col min="11271" max="11272" width="5.6640625" style="218" customWidth="1"/>
    <col min="11273" max="11273" width="15.6640625" style="218" customWidth="1"/>
    <col min="11274" max="11274" width="22.33203125" style="218" customWidth="1"/>
    <col min="11275" max="11276" width="5.6640625" style="218" customWidth="1"/>
    <col min="11277" max="11277" width="17.88671875" style="218" customWidth="1"/>
    <col min="11278" max="11281" width="15.6640625" style="218" customWidth="1"/>
    <col min="11282" max="11520" width="9.109375" style="218"/>
    <col min="11521" max="11521" width="2.6640625" style="218" customWidth="1"/>
    <col min="11522" max="11522" width="5.6640625" style="218" customWidth="1"/>
    <col min="11523" max="11523" width="12.109375" style="218" customWidth="1"/>
    <col min="11524" max="11526" width="15.6640625" style="218" customWidth="1"/>
    <col min="11527" max="11528" width="5.6640625" style="218" customWidth="1"/>
    <col min="11529" max="11529" width="15.6640625" style="218" customWidth="1"/>
    <col min="11530" max="11530" width="22.33203125" style="218" customWidth="1"/>
    <col min="11531" max="11532" width="5.6640625" style="218" customWidth="1"/>
    <col min="11533" max="11533" width="17.88671875" style="218" customWidth="1"/>
    <col min="11534" max="11537" width="15.6640625" style="218" customWidth="1"/>
    <col min="11538" max="11776" width="9.109375" style="218"/>
    <col min="11777" max="11777" width="2.6640625" style="218" customWidth="1"/>
    <col min="11778" max="11778" width="5.6640625" style="218" customWidth="1"/>
    <col min="11779" max="11779" width="12.109375" style="218" customWidth="1"/>
    <col min="11780" max="11782" width="15.6640625" style="218" customWidth="1"/>
    <col min="11783" max="11784" width="5.6640625" style="218" customWidth="1"/>
    <col min="11785" max="11785" width="15.6640625" style="218" customWidth="1"/>
    <col min="11786" max="11786" width="22.33203125" style="218" customWidth="1"/>
    <col min="11787" max="11788" width="5.6640625" style="218" customWidth="1"/>
    <col min="11789" max="11789" width="17.88671875" style="218" customWidth="1"/>
    <col min="11790" max="11793" width="15.6640625" style="218" customWidth="1"/>
    <col min="11794" max="12032" width="9.109375" style="218"/>
    <col min="12033" max="12033" width="2.6640625" style="218" customWidth="1"/>
    <col min="12034" max="12034" width="5.6640625" style="218" customWidth="1"/>
    <col min="12035" max="12035" width="12.109375" style="218" customWidth="1"/>
    <col min="12036" max="12038" width="15.6640625" style="218" customWidth="1"/>
    <col min="12039" max="12040" width="5.6640625" style="218" customWidth="1"/>
    <col min="12041" max="12041" width="15.6640625" style="218" customWidth="1"/>
    <col min="12042" max="12042" width="22.33203125" style="218" customWidth="1"/>
    <col min="12043" max="12044" width="5.6640625" style="218" customWidth="1"/>
    <col min="12045" max="12045" width="17.88671875" style="218" customWidth="1"/>
    <col min="12046" max="12049" width="15.6640625" style="218" customWidth="1"/>
    <col min="12050" max="12288" width="9.109375" style="218"/>
    <col min="12289" max="12289" width="2.6640625" style="218" customWidth="1"/>
    <col min="12290" max="12290" width="5.6640625" style="218" customWidth="1"/>
    <col min="12291" max="12291" width="12.109375" style="218" customWidth="1"/>
    <col min="12292" max="12294" width="15.6640625" style="218" customWidth="1"/>
    <col min="12295" max="12296" width="5.6640625" style="218" customWidth="1"/>
    <col min="12297" max="12297" width="15.6640625" style="218" customWidth="1"/>
    <col min="12298" max="12298" width="22.33203125" style="218" customWidth="1"/>
    <col min="12299" max="12300" width="5.6640625" style="218" customWidth="1"/>
    <col min="12301" max="12301" width="17.88671875" style="218" customWidth="1"/>
    <col min="12302" max="12305" width="15.6640625" style="218" customWidth="1"/>
    <col min="12306" max="12544" width="9.109375" style="218"/>
    <col min="12545" max="12545" width="2.6640625" style="218" customWidth="1"/>
    <col min="12546" max="12546" width="5.6640625" style="218" customWidth="1"/>
    <col min="12547" max="12547" width="12.109375" style="218" customWidth="1"/>
    <col min="12548" max="12550" width="15.6640625" style="218" customWidth="1"/>
    <col min="12551" max="12552" width="5.6640625" style="218" customWidth="1"/>
    <col min="12553" max="12553" width="15.6640625" style="218" customWidth="1"/>
    <col min="12554" max="12554" width="22.33203125" style="218" customWidth="1"/>
    <col min="12555" max="12556" width="5.6640625" style="218" customWidth="1"/>
    <col min="12557" max="12557" width="17.88671875" style="218" customWidth="1"/>
    <col min="12558" max="12561" width="15.6640625" style="218" customWidth="1"/>
    <col min="12562" max="12800" width="9.109375" style="218"/>
    <col min="12801" max="12801" width="2.6640625" style="218" customWidth="1"/>
    <col min="12802" max="12802" width="5.6640625" style="218" customWidth="1"/>
    <col min="12803" max="12803" width="12.109375" style="218" customWidth="1"/>
    <col min="12804" max="12806" width="15.6640625" style="218" customWidth="1"/>
    <col min="12807" max="12808" width="5.6640625" style="218" customWidth="1"/>
    <col min="12809" max="12809" width="15.6640625" style="218" customWidth="1"/>
    <col min="12810" max="12810" width="22.33203125" style="218" customWidth="1"/>
    <col min="12811" max="12812" width="5.6640625" style="218" customWidth="1"/>
    <col min="12813" max="12813" width="17.88671875" style="218" customWidth="1"/>
    <col min="12814" max="12817" width="15.6640625" style="218" customWidth="1"/>
    <col min="12818" max="13056" width="9.109375" style="218"/>
    <col min="13057" max="13057" width="2.6640625" style="218" customWidth="1"/>
    <col min="13058" max="13058" width="5.6640625" style="218" customWidth="1"/>
    <col min="13059" max="13059" width="12.109375" style="218" customWidth="1"/>
    <col min="13060" max="13062" width="15.6640625" style="218" customWidth="1"/>
    <col min="13063" max="13064" width="5.6640625" style="218" customWidth="1"/>
    <col min="13065" max="13065" width="15.6640625" style="218" customWidth="1"/>
    <col min="13066" max="13066" width="22.33203125" style="218" customWidth="1"/>
    <col min="13067" max="13068" width="5.6640625" style="218" customWidth="1"/>
    <col min="13069" max="13069" width="17.88671875" style="218" customWidth="1"/>
    <col min="13070" max="13073" width="15.6640625" style="218" customWidth="1"/>
    <col min="13074" max="13312" width="9.109375" style="218"/>
    <col min="13313" max="13313" width="2.6640625" style="218" customWidth="1"/>
    <col min="13314" max="13314" width="5.6640625" style="218" customWidth="1"/>
    <col min="13315" max="13315" width="12.109375" style="218" customWidth="1"/>
    <col min="13316" max="13318" width="15.6640625" style="218" customWidth="1"/>
    <col min="13319" max="13320" width="5.6640625" style="218" customWidth="1"/>
    <col min="13321" max="13321" width="15.6640625" style="218" customWidth="1"/>
    <col min="13322" max="13322" width="22.33203125" style="218" customWidth="1"/>
    <col min="13323" max="13324" width="5.6640625" style="218" customWidth="1"/>
    <col min="13325" max="13325" width="17.88671875" style="218" customWidth="1"/>
    <col min="13326" max="13329" width="15.6640625" style="218" customWidth="1"/>
    <col min="13330" max="13568" width="9.109375" style="218"/>
    <col min="13569" max="13569" width="2.6640625" style="218" customWidth="1"/>
    <col min="13570" max="13570" width="5.6640625" style="218" customWidth="1"/>
    <col min="13571" max="13571" width="12.109375" style="218" customWidth="1"/>
    <col min="13572" max="13574" width="15.6640625" style="218" customWidth="1"/>
    <col min="13575" max="13576" width="5.6640625" style="218" customWidth="1"/>
    <col min="13577" max="13577" width="15.6640625" style="218" customWidth="1"/>
    <col min="13578" max="13578" width="22.33203125" style="218" customWidth="1"/>
    <col min="13579" max="13580" width="5.6640625" style="218" customWidth="1"/>
    <col min="13581" max="13581" width="17.88671875" style="218" customWidth="1"/>
    <col min="13582" max="13585" width="15.6640625" style="218" customWidth="1"/>
    <col min="13586" max="13824" width="9.109375" style="218"/>
    <col min="13825" max="13825" width="2.6640625" style="218" customWidth="1"/>
    <col min="13826" max="13826" width="5.6640625" style="218" customWidth="1"/>
    <col min="13827" max="13827" width="12.109375" style="218" customWidth="1"/>
    <col min="13828" max="13830" width="15.6640625" style="218" customWidth="1"/>
    <col min="13831" max="13832" width="5.6640625" style="218" customWidth="1"/>
    <col min="13833" max="13833" width="15.6640625" style="218" customWidth="1"/>
    <col min="13834" max="13834" width="22.33203125" style="218" customWidth="1"/>
    <col min="13835" max="13836" width="5.6640625" style="218" customWidth="1"/>
    <col min="13837" max="13837" width="17.88671875" style="218" customWidth="1"/>
    <col min="13838" max="13841" width="15.6640625" style="218" customWidth="1"/>
    <col min="13842" max="14080" width="9.109375" style="218"/>
    <col min="14081" max="14081" width="2.6640625" style="218" customWidth="1"/>
    <col min="14082" max="14082" width="5.6640625" style="218" customWidth="1"/>
    <col min="14083" max="14083" width="12.109375" style="218" customWidth="1"/>
    <col min="14084" max="14086" width="15.6640625" style="218" customWidth="1"/>
    <col min="14087" max="14088" width="5.6640625" style="218" customWidth="1"/>
    <col min="14089" max="14089" width="15.6640625" style="218" customWidth="1"/>
    <col min="14090" max="14090" width="22.33203125" style="218" customWidth="1"/>
    <col min="14091" max="14092" width="5.6640625" style="218" customWidth="1"/>
    <col min="14093" max="14093" width="17.88671875" style="218" customWidth="1"/>
    <col min="14094" max="14097" width="15.6640625" style="218" customWidth="1"/>
    <col min="14098" max="14336" width="9.109375" style="218"/>
    <col min="14337" max="14337" width="2.6640625" style="218" customWidth="1"/>
    <col min="14338" max="14338" width="5.6640625" style="218" customWidth="1"/>
    <col min="14339" max="14339" width="12.109375" style="218" customWidth="1"/>
    <col min="14340" max="14342" width="15.6640625" style="218" customWidth="1"/>
    <col min="14343" max="14344" width="5.6640625" style="218" customWidth="1"/>
    <col min="14345" max="14345" width="15.6640625" style="218" customWidth="1"/>
    <col min="14346" max="14346" width="22.33203125" style="218" customWidth="1"/>
    <col min="14347" max="14348" width="5.6640625" style="218" customWidth="1"/>
    <col min="14349" max="14349" width="17.88671875" style="218" customWidth="1"/>
    <col min="14350" max="14353" width="15.6640625" style="218" customWidth="1"/>
    <col min="14354" max="14592" width="9.109375" style="218"/>
    <col min="14593" max="14593" width="2.6640625" style="218" customWidth="1"/>
    <col min="14594" max="14594" width="5.6640625" style="218" customWidth="1"/>
    <col min="14595" max="14595" width="12.109375" style="218" customWidth="1"/>
    <col min="14596" max="14598" width="15.6640625" style="218" customWidth="1"/>
    <col min="14599" max="14600" width="5.6640625" style="218" customWidth="1"/>
    <col min="14601" max="14601" width="15.6640625" style="218" customWidth="1"/>
    <col min="14602" max="14602" width="22.33203125" style="218" customWidth="1"/>
    <col min="14603" max="14604" width="5.6640625" style="218" customWidth="1"/>
    <col min="14605" max="14605" width="17.88671875" style="218" customWidth="1"/>
    <col min="14606" max="14609" width="15.6640625" style="218" customWidth="1"/>
    <col min="14610" max="14848" width="9.109375" style="218"/>
    <col min="14849" max="14849" width="2.6640625" style="218" customWidth="1"/>
    <col min="14850" max="14850" width="5.6640625" style="218" customWidth="1"/>
    <col min="14851" max="14851" width="12.109375" style="218" customWidth="1"/>
    <col min="14852" max="14854" width="15.6640625" style="218" customWidth="1"/>
    <col min="14855" max="14856" width="5.6640625" style="218" customWidth="1"/>
    <col min="14857" max="14857" width="15.6640625" style="218" customWidth="1"/>
    <col min="14858" max="14858" width="22.33203125" style="218" customWidth="1"/>
    <col min="14859" max="14860" width="5.6640625" style="218" customWidth="1"/>
    <col min="14861" max="14861" width="17.88671875" style="218" customWidth="1"/>
    <col min="14862" max="14865" width="15.6640625" style="218" customWidth="1"/>
    <col min="14866" max="15104" width="9.109375" style="218"/>
    <col min="15105" max="15105" width="2.6640625" style="218" customWidth="1"/>
    <col min="15106" max="15106" width="5.6640625" style="218" customWidth="1"/>
    <col min="15107" max="15107" width="12.109375" style="218" customWidth="1"/>
    <col min="15108" max="15110" width="15.6640625" style="218" customWidth="1"/>
    <col min="15111" max="15112" width="5.6640625" style="218" customWidth="1"/>
    <col min="15113" max="15113" width="15.6640625" style="218" customWidth="1"/>
    <col min="15114" max="15114" width="22.33203125" style="218" customWidth="1"/>
    <col min="15115" max="15116" width="5.6640625" style="218" customWidth="1"/>
    <col min="15117" max="15117" width="17.88671875" style="218" customWidth="1"/>
    <col min="15118" max="15121" width="15.6640625" style="218" customWidth="1"/>
    <col min="15122" max="15360" width="9.109375" style="218"/>
    <col min="15361" max="15361" width="2.6640625" style="218" customWidth="1"/>
    <col min="15362" max="15362" width="5.6640625" style="218" customWidth="1"/>
    <col min="15363" max="15363" width="12.109375" style="218" customWidth="1"/>
    <col min="15364" max="15366" width="15.6640625" style="218" customWidth="1"/>
    <col min="15367" max="15368" width="5.6640625" style="218" customWidth="1"/>
    <col min="15369" max="15369" width="15.6640625" style="218" customWidth="1"/>
    <col min="15370" max="15370" width="22.33203125" style="218" customWidth="1"/>
    <col min="15371" max="15372" width="5.6640625" style="218" customWidth="1"/>
    <col min="15373" max="15373" width="17.88671875" style="218" customWidth="1"/>
    <col min="15374" max="15377" width="15.6640625" style="218" customWidth="1"/>
    <col min="15378" max="15616" width="9.109375" style="218"/>
    <col min="15617" max="15617" width="2.6640625" style="218" customWidth="1"/>
    <col min="15618" max="15618" width="5.6640625" style="218" customWidth="1"/>
    <col min="15619" max="15619" width="12.109375" style="218" customWidth="1"/>
    <col min="15620" max="15622" width="15.6640625" style="218" customWidth="1"/>
    <col min="15623" max="15624" width="5.6640625" style="218" customWidth="1"/>
    <col min="15625" max="15625" width="15.6640625" style="218" customWidth="1"/>
    <col min="15626" max="15626" width="22.33203125" style="218" customWidth="1"/>
    <col min="15627" max="15628" width="5.6640625" style="218" customWidth="1"/>
    <col min="15629" max="15629" width="17.88671875" style="218" customWidth="1"/>
    <col min="15630" max="15633" width="15.6640625" style="218" customWidth="1"/>
    <col min="15634" max="15872" width="9.109375" style="218"/>
    <col min="15873" max="15873" width="2.6640625" style="218" customWidth="1"/>
    <col min="15874" max="15874" width="5.6640625" style="218" customWidth="1"/>
    <col min="15875" max="15875" width="12.109375" style="218" customWidth="1"/>
    <col min="15876" max="15878" width="15.6640625" style="218" customWidth="1"/>
    <col min="15879" max="15880" width="5.6640625" style="218" customWidth="1"/>
    <col min="15881" max="15881" width="15.6640625" style="218" customWidth="1"/>
    <col min="15882" max="15882" width="22.33203125" style="218" customWidth="1"/>
    <col min="15883" max="15884" width="5.6640625" style="218" customWidth="1"/>
    <col min="15885" max="15885" width="17.88671875" style="218" customWidth="1"/>
    <col min="15886" max="15889" width="15.6640625" style="218" customWidth="1"/>
    <col min="15890" max="16128" width="9.109375" style="218"/>
    <col min="16129" max="16129" width="2.6640625" style="218" customWidth="1"/>
    <col min="16130" max="16130" width="5.6640625" style="218" customWidth="1"/>
    <col min="16131" max="16131" width="12.109375" style="218" customWidth="1"/>
    <col min="16132" max="16134" width="15.6640625" style="218" customWidth="1"/>
    <col min="16135" max="16136" width="5.6640625" style="218" customWidth="1"/>
    <col min="16137" max="16137" width="15.6640625" style="218" customWidth="1"/>
    <col min="16138" max="16138" width="22.33203125" style="218" customWidth="1"/>
    <col min="16139" max="16140" width="5.6640625" style="218" customWidth="1"/>
    <col min="16141" max="16141" width="17.88671875" style="218" customWidth="1"/>
    <col min="16142" max="16145" width="15.6640625" style="218" customWidth="1"/>
    <col min="16146" max="16384" width="9.109375" style="218"/>
  </cols>
  <sheetData>
    <row r="1" spans="1:17" x14ac:dyDescent="0.25">
      <c r="A1" s="217"/>
    </row>
    <row r="2" spans="1:17" x14ac:dyDescent="0.25">
      <c r="G2" s="220"/>
    </row>
    <row r="5" spans="1:17" ht="6" customHeight="1" x14ac:dyDescent="0.25">
      <c r="B5" s="221"/>
      <c r="C5" s="222"/>
      <c r="D5" s="222"/>
      <c r="E5" s="222"/>
      <c r="F5" s="222"/>
      <c r="G5" s="222"/>
      <c r="H5" s="222"/>
      <c r="I5" s="222"/>
      <c r="J5" s="222"/>
      <c r="K5" s="222"/>
      <c r="L5" s="223"/>
      <c r="M5" s="224"/>
      <c r="N5" s="222"/>
      <c r="O5" s="222"/>
      <c r="P5" s="222"/>
      <c r="Q5" s="225"/>
    </row>
    <row r="6" spans="1:17" ht="17.399999999999999" x14ac:dyDescent="0.25">
      <c r="B6" s="575" t="s">
        <v>205</v>
      </c>
      <c r="C6" s="575"/>
      <c r="D6" s="575"/>
      <c r="E6" s="575"/>
      <c r="F6" s="575"/>
      <c r="G6" s="575"/>
      <c r="H6" s="575"/>
      <c r="I6" s="575"/>
      <c r="J6" s="575"/>
      <c r="K6" s="575"/>
      <c r="L6" s="575"/>
      <c r="M6" s="575"/>
      <c r="N6" s="575"/>
      <c r="O6" s="575"/>
      <c r="P6" s="575"/>
      <c r="Q6" s="575"/>
    </row>
    <row r="7" spans="1:17" ht="13.8" thickBot="1" x14ac:dyDescent="0.3">
      <c r="B7" s="226"/>
      <c r="C7" s="226"/>
      <c r="L7" s="218"/>
    </row>
    <row r="8" spans="1:17" ht="13.8" thickBot="1" x14ac:dyDescent="0.3">
      <c r="B8" s="576" t="s">
        <v>206</v>
      </c>
      <c r="C8" s="577"/>
      <c r="D8" s="227" t="s">
        <v>207</v>
      </c>
      <c r="E8" s="227"/>
      <c r="F8" s="227"/>
      <c r="G8" s="227"/>
      <c r="H8" s="227"/>
      <c r="I8" s="228"/>
      <c r="J8" s="227"/>
      <c r="K8" s="229"/>
      <c r="M8" s="230" t="s">
        <v>208</v>
      </c>
      <c r="N8" s="578" t="s">
        <v>209</v>
      </c>
      <c r="O8" s="578"/>
      <c r="P8" s="578"/>
      <c r="Q8" s="579"/>
    </row>
    <row r="9" spans="1:17" ht="12.75" customHeight="1" x14ac:dyDescent="0.25">
      <c r="B9" s="557" t="s">
        <v>210</v>
      </c>
      <c r="C9" s="558"/>
      <c r="D9" s="231">
        <v>3181</v>
      </c>
      <c r="E9" s="231"/>
      <c r="F9" s="231"/>
      <c r="G9" s="231"/>
      <c r="H9" s="231"/>
      <c r="I9" s="232" t="s">
        <v>211</v>
      </c>
      <c r="J9" s="233"/>
      <c r="K9" s="234"/>
      <c r="M9" s="580" t="s">
        <v>212</v>
      </c>
      <c r="N9" s="581"/>
      <c r="O9" s="581"/>
      <c r="P9" s="581"/>
      <c r="Q9" s="582"/>
    </row>
    <row r="10" spans="1:17" x14ac:dyDescent="0.25">
      <c r="B10" s="557" t="s">
        <v>213</v>
      </c>
      <c r="C10" s="558"/>
      <c r="D10" s="235">
        <v>43908</v>
      </c>
      <c r="I10" s="236" t="s">
        <v>214</v>
      </c>
      <c r="J10" s="237"/>
      <c r="K10" s="238"/>
      <c r="M10" s="559" t="s">
        <v>215</v>
      </c>
      <c r="N10" s="560"/>
      <c r="O10" s="560"/>
      <c r="P10" s="560"/>
      <c r="Q10" s="561"/>
    </row>
    <row r="11" spans="1:17" ht="13.8" thickBot="1" x14ac:dyDescent="0.3">
      <c r="B11" s="565" t="s">
        <v>216</v>
      </c>
      <c r="C11" s="566"/>
      <c r="D11" s="239">
        <v>44697</v>
      </c>
      <c r="E11" s="240"/>
      <c r="F11" s="240"/>
      <c r="G11" s="240"/>
      <c r="H11" s="240"/>
      <c r="I11" s="241" t="s">
        <v>217</v>
      </c>
      <c r="J11" s="242"/>
      <c r="K11" s="243"/>
      <c r="M11" s="559"/>
      <c r="N11" s="560"/>
      <c r="O11" s="560"/>
      <c r="P11" s="560"/>
      <c r="Q11" s="561"/>
    </row>
    <row r="12" spans="1:17" ht="13.8" thickBot="1" x14ac:dyDescent="0.3">
      <c r="B12" s="236"/>
      <c r="C12" s="236"/>
      <c r="D12" s="236"/>
      <c r="F12" s="226"/>
      <c r="G12" s="226"/>
      <c r="H12" s="226"/>
      <c r="I12" s="226"/>
      <c r="M12" s="559"/>
      <c r="N12" s="560"/>
      <c r="O12" s="560"/>
      <c r="P12" s="560"/>
      <c r="Q12" s="561"/>
    </row>
    <row r="13" spans="1:17" x14ac:dyDescent="0.25">
      <c r="B13" s="244"/>
      <c r="C13" s="245"/>
      <c r="D13" s="245"/>
      <c r="E13" s="245"/>
      <c r="F13" s="246"/>
      <c r="H13" s="247"/>
      <c r="I13" s="245"/>
      <c r="J13" s="245"/>
      <c r="K13" s="246"/>
      <c r="M13" s="559"/>
      <c r="N13" s="560"/>
      <c r="O13" s="560"/>
      <c r="P13" s="560"/>
      <c r="Q13" s="561"/>
    </row>
    <row r="14" spans="1:17" x14ac:dyDescent="0.25">
      <c r="B14" s="248"/>
      <c r="C14" s="236" t="s">
        <v>218</v>
      </c>
      <c r="D14" s="567"/>
      <c r="E14" s="567"/>
      <c r="F14" s="238"/>
      <c r="H14" s="249"/>
      <c r="I14" s="236" t="s">
        <v>219</v>
      </c>
      <c r="J14" s="250"/>
      <c r="K14" s="238"/>
      <c r="M14" s="559"/>
      <c r="N14" s="560"/>
      <c r="O14" s="560"/>
      <c r="P14" s="560"/>
      <c r="Q14" s="561"/>
    </row>
    <row r="15" spans="1:17" x14ac:dyDescent="0.25">
      <c r="B15" s="248"/>
      <c r="F15" s="238"/>
      <c r="H15" s="249"/>
      <c r="I15" s="251"/>
      <c r="J15" s="252"/>
      <c r="K15" s="238"/>
      <c r="M15" s="559"/>
      <c r="N15" s="560"/>
      <c r="O15" s="560"/>
      <c r="P15" s="560"/>
      <c r="Q15" s="561"/>
    </row>
    <row r="16" spans="1:17" x14ac:dyDescent="0.25">
      <c r="B16" s="248"/>
      <c r="C16" s="253" t="s">
        <v>220</v>
      </c>
      <c r="D16" s="253"/>
      <c r="E16" s="253"/>
      <c r="F16" s="254"/>
      <c r="H16" s="249"/>
      <c r="I16" s="236" t="s">
        <v>221</v>
      </c>
      <c r="J16" s="250"/>
      <c r="K16" s="255"/>
      <c r="M16" s="559"/>
      <c r="N16" s="560"/>
      <c r="O16" s="560"/>
      <c r="P16" s="560"/>
      <c r="Q16" s="561"/>
    </row>
    <row r="17" spans="2:17" x14ac:dyDescent="0.25">
      <c r="B17" s="248"/>
      <c r="D17" s="226"/>
      <c r="E17" s="252"/>
      <c r="F17" s="238"/>
      <c r="H17" s="249"/>
      <c r="J17" s="256"/>
      <c r="K17" s="255"/>
      <c r="M17" s="559"/>
      <c r="N17" s="560"/>
      <c r="O17" s="560"/>
      <c r="P17" s="560"/>
      <c r="Q17" s="561"/>
    </row>
    <row r="18" spans="2:17" x14ac:dyDescent="0.25">
      <c r="B18" s="248"/>
      <c r="C18" s="226" t="s">
        <v>222</v>
      </c>
      <c r="D18" s="226"/>
      <c r="E18" s="257"/>
      <c r="F18" s="238"/>
      <c r="H18" s="249"/>
      <c r="I18" s="236" t="s">
        <v>223</v>
      </c>
      <c r="J18" s="250"/>
      <c r="K18" s="258"/>
      <c r="M18" s="559"/>
      <c r="N18" s="560"/>
      <c r="O18" s="560"/>
      <c r="P18" s="560"/>
      <c r="Q18" s="561"/>
    </row>
    <row r="19" spans="2:17" x14ac:dyDescent="0.25">
      <c r="B19" s="248"/>
      <c r="C19" s="226" t="s">
        <v>224</v>
      </c>
      <c r="D19" s="226"/>
      <c r="E19" s="252"/>
      <c r="F19" s="238"/>
      <c r="H19" s="249"/>
      <c r="J19" s="256"/>
      <c r="K19" s="258"/>
      <c r="M19" s="559"/>
      <c r="N19" s="560"/>
      <c r="O19" s="560"/>
      <c r="P19" s="560"/>
      <c r="Q19" s="561"/>
    </row>
    <row r="20" spans="2:17" ht="13.8" thickBot="1" x14ac:dyDescent="0.3">
      <c r="B20" s="259"/>
      <c r="C20" s="260"/>
      <c r="D20" s="260"/>
      <c r="E20" s="260"/>
      <c r="F20" s="243"/>
      <c r="H20" s="261"/>
      <c r="I20" s="260"/>
      <c r="J20" s="260"/>
      <c r="K20" s="262"/>
      <c r="M20" s="562"/>
      <c r="N20" s="563"/>
      <c r="O20" s="563"/>
      <c r="P20" s="563"/>
      <c r="Q20" s="564"/>
    </row>
    <row r="21" spans="2:17" x14ac:dyDescent="0.25">
      <c r="D21" s="220"/>
      <c r="E21" s="220"/>
      <c r="F21" s="263"/>
      <c r="G21" s="263"/>
      <c r="H21" s="263"/>
      <c r="I21" s="263"/>
      <c r="J21" s="263"/>
      <c r="K21" s="263"/>
    </row>
    <row r="22" spans="2:17" ht="6" customHeight="1" x14ac:dyDescent="0.25">
      <c r="B22" s="221"/>
      <c r="C22" s="222"/>
      <c r="D22" s="222"/>
      <c r="E22" s="222"/>
      <c r="F22" s="222"/>
      <c r="G22" s="222"/>
      <c r="H22" s="222"/>
      <c r="I22" s="222"/>
      <c r="J22" s="222"/>
      <c r="K22" s="222"/>
      <c r="L22" s="223"/>
      <c r="M22" s="224"/>
      <c r="N22" s="222"/>
      <c r="O22" s="222"/>
      <c r="P22" s="222"/>
      <c r="Q22" s="225"/>
    </row>
    <row r="23" spans="2:17" ht="15" customHeight="1" x14ac:dyDescent="0.25">
      <c r="B23" s="568" t="s">
        <v>225</v>
      </c>
      <c r="C23" s="568"/>
      <c r="D23" s="569" t="s">
        <v>178</v>
      </c>
      <c r="E23" s="570"/>
      <c r="F23" s="570"/>
      <c r="G23" s="570"/>
      <c r="H23" s="570"/>
      <c r="I23" s="570"/>
      <c r="J23" s="570"/>
      <c r="K23" s="573" t="s">
        <v>226</v>
      </c>
      <c r="L23" s="573"/>
      <c r="M23" s="574" t="s">
        <v>227</v>
      </c>
      <c r="N23" s="264" t="s">
        <v>228</v>
      </c>
      <c r="O23" s="264" t="s">
        <v>229</v>
      </c>
      <c r="P23" s="583" t="s">
        <v>230</v>
      </c>
      <c r="Q23" s="584"/>
    </row>
    <row r="24" spans="2:17" x14ac:dyDescent="0.25">
      <c r="B24" s="568"/>
      <c r="C24" s="568"/>
      <c r="D24" s="571"/>
      <c r="E24" s="572"/>
      <c r="F24" s="572"/>
      <c r="G24" s="572"/>
      <c r="H24" s="572"/>
      <c r="I24" s="572"/>
      <c r="J24" s="572"/>
      <c r="K24" s="573"/>
      <c r="L24" s="573"/>
      <c r="M24" s="574"/>
      <c r="N24" s="265" t="s">
        <v>231</v>
      </c>
      <c r="O24" s="265" t="s">
        <v>232</v>
      </c>
      <c r="P24" s="266" t="s">
        <v>233</v>
      </c>
      <c r="Q24" s="267" t="s">
        <v>234</v>
      </c>
    </row>
    <row r="25" spans="2:17" x14ac:dyDescent="0.25">
      <c r="B25" s="585">
        <v>1</v>
      </c>
      <c r="C25" s="585"/>
      <c r="D25" s="590" t="s">
        <v>235</v>
      </c>
      <c r="E25" s="587"/>
      <c r="F25" s="587"/>
      <c r="G25" s="587"/>
      <c r="H25" s="587"/>
      <c r="I25" s="587"/>
      <c r="J25" s="588"/>
      <c r="K25" s="589" t="s">
        <v>236</v>
      </c>
      <c r="L25" s="589"/>
      <c r="M25" s="268"/>
      <c r="N25" s="269">
        <v>1</v>
      </c>
      <c r="O25" s="269">
        <f>ROUND((+M25*N25),2)</f>
        <v>0</v>
      </c>
      <c r="P25" s="269">
        <v>4652017.57</v>
      </c>
      <c r="Q25" s="270">
        <v>4652017.57</v>
      </c>
    </row>
    <row r="26" spans="2:17" x14ac:dyDescent="0.25">
      <c r="B26" s="585">
        <v>2</v>
      </c>
      <c r="C26" s="585"/>
      <c r="D26" s="586" t="s">
        <v>237</v>
      </c>
      <c r="E26" s="587"/>
      <c r="F26" s="587"/>
      <c r="G26" s="587"/>
      <c r="H26" s="587"/>
      <c r="I26" s="587"/>
      <c r="J26" s="588"/>
      <c r="K26" s="589" t="s">
        <v>236</v>
      </c>
      <c r="L26" s="589"/>
      <c r="M26" s="268"/>
      <c r="N26" s="269">
        <v>1</v>
      </c>
      <c r="O26" s="269">
        <f>ROUND((+M26*N26),2)</f>
        <v>0</v>
      </c>
      <c r="P26" s="269">
        <v>50000</v>
      </c>
      <c r="Q26" s="270">
        <v>50000</v>
      </c>
    </row>
    <row r="27" spans="2:17" x14ac:dyDescent="0.25">
      <c r="B27" s="585">
        <v>3</v>
      </c>
      <c r="C27" s="585"/>
      <c r="D27" s="586" t="s">
        <v>238</v>
      </c>
      <c r="E27" s="587"/>
      <c r="F27" s="587"/>
      <c r="G27" s="587"/>
      <c r="H27" s="587"/>
      <c r="I27" s="587"/>
      <c r="J27" s="588"/>
      <c r="K27" s="589" t="s">
        <v>239</v>
      </c>
      <c r="L27" s="589"/>
      <c r="M27" s="268"/>
      <c r="N27" s="269">
        <v>1</v>
      </c>
      <c r="O27" s="269">
        <f>ROUND((+M27*N27),2)</f>
        <v>0</v>
      </c>
      <c r="P27" s="269">
        <v>2331629.7400000002</v>
      </c>
      <c r="Q27" s="270">
        <v>2331629.7400000002</v>
      </c>
    </row>
    <row r="28" spans="2:17" ht="6" customHeight="1" thickBot="1" x14ac:dyDescent="0.3">
      <c r="B28" s="271"/>
      <c r="C28" s="271"/>
      <c r="D28" s="271"/>
      <c r="E28" s="271"/>
      <c r="F28" s="271"/>
      <c r="G28" s="271"/>
      <c r="H28" s="271"/>
      <c r="I28" s="271"/>
      <c r="J28" s="271"/>
      <c r="K28" s="271"/>
      <c r="L28" s="272"/>
      <c r="M28" s="273"/>
      <c r="N28" s="271"/>
      <c r="O28" s="271"/>
      <c r="P28" s="271"/>
      <c r="Q28" s="271"/>
    </row>
    <row r="29" spans="2:17" ht="6" customHeight="1" x14ac:dyDescent="0.25">
      <c r="B29" s="274"/>
      <c r="C29" s="274"/>
      <c r="D29" s="274"/>
      <c r="E29" s="274"/>
      <c r="F29" s="274"/>
      <c r="G29" s="274"/>
      <c r="H29" s="274"/>
      <c r="I29" s="274"/>
      <c r="J29" s="274"/>
      <c r="K29" s="274"/>
      <c r="L29" s="275"/>
      <c r="M29" s="276"/>
      <c r="N29" s="274"/>
      <c r="O29" s="274"/>
      <c r="P29" s="274"/>
      <c r="Q29" s="274"/>
    </row>
    <row r="30" spans="2:17" ht="6" customHeight="1" x14ac:dyDescent="0.25">
      <c r="B30" s="274"/>
      <c r="C30" s="274"/>
      <c r="D30" s="274"/>
      <c r="E30" s="274"/>
      <c r="F30" s="274"/>
      <c r="G30" s="274"/>
      <c r="H30" s="274"/>
      <c r="I30" s="274"/>
      <c r="J30" s="274"/>
      <c r="K30" s="274"/>
      <c r="L30" s="275"/>
      <c r="M30" s="276"/>
      <c r="N30" s="274"/>
      <c r="O30" s="274"/>
      <c r="P30" s="274"/>
      <c r="Q30" s="274"/>
    </row>
    <row r="31" spans="2:17" x14ac:dyDescent="0.25">
      <c r="Q31" s="282">
        <f>SUM(Q25:Q26)</f>
        <v>4702017.57</v>
      </c>
    </row>
    <row r="32" spans="2:17" x14ac:dyDescent="0.25">
      <c r="M32" s="277" t="s">
        <v>240</v>
      </c>
      <c r="O32" s="278">
        <f>SUM(O24:O28)</f>
        <v>0</v>
      </c>
      <c r="P32" s="278"/>
      <c r="Q32" s="278">
        <f>SUM(Q24:Q28)</f>
        <v>7033647.3100000005</v>
      </c>
    </row>
    <row r="33" spans="4:17" x14ac:dyDescent="0.25">
      <c r="D33" s="277"/>
      <c r="L33" s="277"/>
      <c r="M33" s="226"/>
      <c r="N33" s="226"/>
      <c r="O33" s="278"/>
      <c r="P33" s="278"/>
      <c r="Q33" s="279"/>
    </row>
    <row r="34" spans="4:17" x14ac:dyDescent="0.25">
      <c r="D34" s="277"/>
      <c r="L34" s="277"/>
      <c r="M34" s="226"/>
      <c r="N34" s="226"/>
      <c r="O34" s="278"/>
      <c r="P34" s="278"/>
      <c r="Q34" s="279"/>
    </row>
    <row r="35" spans="4:17" x14ac:dyDescent="0.25">
      <c r="D35" s="277"/>
      <c r="L35" s="277"/>
      <c r="M35" s="226"/>
      <c r="N35" s="226"/>
      <c r="O35" s="278"/>
      <c r="P35" s="278"/>
      <c r="Q35" s="280"/>
    </row>
    <row r="43" spans="4:17" ht="24.6" x14ac:dyDescent="0.4">
      <c r="M43" s="281"/>
    </row>
  </sheetData>
  <mergeCells count="23">
    <mergeCell ref="B25:C25"/>
    <mergeCell ref="D25:J25"/>
    <mergeCell ref="K25:L25"/>
    <mergeCell ref="B26:C26"/>
    <mergeCell ref="D26:J26"/>
    <mergeCell ref="K26:L26"/>
    <mergeCell ref="B27:C27"/>
    <mergeCell ref="D27:J27"/>
    <mergeCell ref="K27:L27"/>
    <mergeCell ref="B6:Q6"/>
    <mergeCell ref="B8:C8"/>
    <mergeCell ref="N8:Q8"/>
    <mergeCell ref="B9:C9"/>
    <mergeCell ref="M9:Q9"/>
    <mergeCell ref="B10:C10"/>
    <mergeCell ref="M10:Q20"/>
    <mergeCell ref="B11:C11"/>
    <mergeCell ref="D14:E14"/>
    <mergeCell ref="B23:C24"/>
    <mergeCell ref="D23:J24"/>
    <mergeCell ref="K23:L24"/>
    <mergeCell ref="M23:M24"/>
    <mergeCell ref="P23:Q23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A297F-4CDF-4FE5-9DD7-1D53FBD21ABF}">
  <dimension ref="A1:AB53"/>
  <sheetViews>
    <sheetView topLeftCell="A25" workbookViewId="0">
      <selection activeCell="C45" sqref="C45"/>
    </sheetView>
  </sheetViews>
  <sheetFormatPr defaultColWidth="9.109375" defaultRowHeight="13.2" outlineLevelCol="1" x14ac:dyDescent="0.25"/>
  <cols>
    <col min="1" max="1" width="8.44140625" customWidth="1"/>
    <col min="2" max="2" width="19.44140625" customWidth="1"/>
    <col min="3" max="3" width="79.88671875" customWidth="1"/>
    <col min="4" max="4" width="10.33203125" bestFit="1" customWidth="1"/>
    <col min="5" max="7" width="0" hidden="1" customWidth="1"/>
    <col min="8" max="8" width="9.5546875" bestFit="1" customWidth="1"/>
    <col min="9" max="9" width="10.5546875" bestFit="1" customWidth="1"/>
    <col min="10" max="10" width="13.33203125" bestFit="1" customWidth="1"/>
    <col min="11" max="12" width="9.109375" hidden="1" customWidth="1" outlineLevel="1"/>
    <col min="13" max="13" width="11" hidden="1" customWidth="1" outlineLevel="1"/>
    <col min="14" max="14" width="16.109375" hidden="1" customWidth="1" outlineLevel="1"/>
    <col min="15" max="15" width="13.33203125" hidden="1" customWidth="1" outlineLevel="1"/>
    <col min="16" max="16" width="11.5546875" hidden="1" customWidth="1" outlineLevel="1"/>
    <col min="17" max="17" width="13.33203125" hidden="1" customWidth="1" outlineLevel="1"/>
    <col min="18" max="18" width="11.5546875" hidden="1" customWidth="1" outlineLevel="1"/>
    <col min="19" max="19" width="9.109375" hidden="1" customWidth="1" outlineLevel="1"/>
    <col min="20" max="20" width="10.109375" bestFit="1" customWidth="1" collapsed="1"/>
    <col min="21" max="21" width="11.33203125" bestFit="1" customWidth="1"/>
    <col min="22" max="22" width="13.109375" bestFit="1" customWidth="1"/>
    <col min="23" max="23" width="12" bestFit="1" customWidth="1"/>
    <col min="24" max="24" width="10.5546875" bestFit="1" customWidth="1"/>
    <col min="25" max="25" width="19.6640625" bestFit="1" customWidth="1"/>
    <col min="27" max="27" width="11.5546875" bestFit="1" customWidth="1" collapsed="1"/>
    <col min="28" max="28" width="18.5546875" bestFit="1" customWidth="1"/>
  </cols>
  <sheetData>
    <row r="1" spans="1:28" ht="13.8" x14ac:dyDescent="0.25">
      <c r="A1" s="594" t="s">
        <v>265</v>
      </c>
      <c r="B1" s="595"/>
      <c r="C1" s="596"/>
      <c r="D1" s="302" t="s">
        <v>266</v>
      </c>
    </row>
    <row r="2" spans="1:28" ht="13.8" x14ac:dyDescent="0.25">
      <c r="A2" s="597"/>
      <c r="B2" s="598"/>
      <c r="C2" s="599"/>
      <c r="D2" s="303">
        <v>2</v>
      </c>
    </row>
    <row r="3" spans="1:28" ht="13.8" x14ac:dyDescent="0.25">
      <c r="A3" s="304" t="s">
        <v>267</v>
      </c>
      <c r="B3" s="305"/>
      <c r="C3" s="306"/>
      <c r="D3" s="307" t="s">
        <v>268</v>
      </c>
    </row>
    <row r="4" spans="1:28" ht="15.6" x14ac:dyDescent="0.25">
      <c r="A4" s="308" t="s">
        <v>269</v>
      </c>
      <c r="B4" s="309"/>
      <c r="C4" s="310"/>
      <c r="D4" s="311">
        <v>0</v>
      </c>
    </row>
    <row r="5" spans="1:28" ht="13.8" x14ac:dyDescent="0.25">
      <c r="A5" s="304" t="s">
        <v>270</v>
      </c>
      <c r="B5" s="305"/>
      <c r="C5" s="306"/>
      <c r="D5" s="312" t="s">
        <v>271</v>
      </c>
    </row>
    <row r="6" spans="1:28" ht="15.6" x14ac:dyDescent="0.25">
      <c r="A6" s="313" t="s">
        <v>207</v>
      </c>
      <c r="B6" s="314"/>
      <c r="C6" s="315"/>
      <c r="D6" s="316">
        <v>3181</v>
      </c>
    </row>
    <row r="7" spans="1:28" x14ac:dyDescent="0.25">
      <c r="A7" s="600" t="s">
        <v>272</v>
      </c>
      <c r="B7" s="600" t="s">
        <v>272</v>
      </c>
      <c r="C7" s="600" t="s">
        <v>272</v>
      </c>
      <c r="D7" s="600" t="s">
        <v>272</v>
      </c>
      <c r="E7" s="591" t="s">
        <v>273</v>
      </c>
      <c r="F7" s="591" t="s">
        <v>273</v>
      </c>
      <c r="G7" s="591" t="s">
        <v>273</v>
      </c>
      <c r="H7" s="601" t="s">
        <v>274</v>
      </c>
      <c r="I7" s="601" t="s">
        <v>274</v>
      </c>
      <c r="J7" s="601" t="s">
        <v>274</v>
      </c>
      <c r="K7" s="602" t="s">
        <v>275</v>
      </c>
      <c r="L7" s="602" t="s">
        <v>275</v>
      </c>
      <c r="M7" s="602" t="s">
        <v>275</v>
      </c>
      <c r="N7" s="602" t="s">
        <v>275</v>
      </c>
      <c r="O7" s="602" t="s">
        <v>275</v>
      </c>
      <c r="P7" s="602" t="s">
        <v>275</v>
      </c>
      <c r="Q7" s="602" t="s">
        <v>275</v>
      </c>
      <c r="R7" s="602" t="s">
        <v>275</v>
      </c>
      <c r="S7" s="602" t="s">
        <v>275</v>
      </c>
      <c r="T7" s="591" t="s">
        <v>276</v>
      </c>
      <c r="U7" s="591" t="s">
        <v>276</v>
      </c>
      <c r="V7" s="591" t="s">
        <v>276</v>
      </c>
      <c r="W7" s="591" t="s">
        <v>277</v>
      </c>
      <c r="X7" s="591" t="s">
        <v>277</v>
      </c>
      <c r="Y7" s="591" t="s">
        <v>277</v>
      </c>
      <c r="Z7" s="591" t="s">
        <v>277</v>
      </c>
      <c r="AA7" s="591" t="s">
        <v>278</v>
      </c>
      <c r="AB7" s="591" t="s">
        <v>276</v>
      </c>
    </row>
    <row r="8" spans="1:28" x14ac:dyDescent="0.25">
      <c r="A8" s="600" t="s">
        <v>272</v>
      </c>
      <c r="B8" s="600" t="s">
        <v>272</v>
      </c>
      <c r="C8" s="600" t="s">
        <v>272</v>
      </c>
      <c r="D8" s="600" t="s">
        <v>272</v>
      </c>
      <c r="E8" s="591" t="s">
        <v>273</v>
      </c>
      <c r="F8" s="591" t="s">
        <v>273</v>
      </c>
      <c r="G8" s="591" t="s">
        <v>273</v>
      </c>
      <c r="H8" s="601" t="s">
        <v>274</v>
      </c>
      <c r="I8" s="601" t="s">
        <v>274</v>
      </c>
      <c r="J8" s="601" t="s">
        <v>274</v>
      </c>
      <c r="K8" s="592" t="s">
        <v>279</v>
      </c>
      <c r="L8" s="592" t="s">
        <v>279</v>
      </c>
      <c r="M8" s="592" t="s">
        <v>279</v>
      </c>
      <c r="N8" s="592" t="s">
        <v>279</v>
      </c>
      <c r="O8" s="593" t="s">
        <v>280</v>
      </c>
      <c r="P8" s="593" t="s">
        <v>280</v>
      </c>
      <c r="Q8" s="593" t="s">
        <v>280</v>
      </c>
      <c r="R8" s="593" t="s">
        <v>280</v>
      </c>
      <c r="S8" s="593" t="s">
        <v>280</v>
      </c>
      <c r="T8" s="591" t="s">
        <v>276</v>
      </c>
      <c r="U8" s="591" t="s">
        <v>276</v>
      </c>
      <c r="V8" s="591" t="s">
        <v>276</v>
      </c>
      <c r="W8" s="591" t="s">
        <v>277</v>
      </c>
      <c r="X8" s="591" t="s">
        <v>277</v>
      </c>
      <c r="Y8" s="591" t="s">
        <v>277</v>
      </c>
      <c r="Z8" s="591" t="s">
        <v>277</v>
      </c>
      <c r="AA8" s="591" t="s">
        <v>276</v>
      </c>
      <c r="AB8" s="591" t="s">
        <v>276</v>
      </c>
    </row>
    <row r="9" spans="1:28" s="321" customFormat="1" ht="14.4" x14ac:dyDescent="0.25">
      <c r="A9" s="317" t="s">
        <v>281</v>
      </c>
      <c r="B9" s="317" t="s">
        <v>282</v>
      </c>
      <c r="C9" s="317" t="s">
        <v>283</v>
      </c>
      <c r="D9" s="317" t="s">
        <v>284</v>
      </c>
      <c r="E9" s="318" t="s">
        <v>285</v>
      </c>
      <c r="F9" s="318" t="s">
        <v>286</v>
      </c>
      <c r="G9" s="318" t="s">
        <v>287</v>
      </c>
      <c r="H9" s="318" t="s">
        <v>285</v>
      </c>
      <c r="I9" s="318" t="s">
        <v>286</v>
      </c>
      <c r="J9" s="318" t="s">
        <v>287</v>
      </c>
      <c r="K9" s="319" t="s">
        <v>288</v>
      </c>
      <c r="L9" s="319" t="s">
        <v>289</v>
      </c>
      <c r="M9" s="319" t="s">
        <v>290</v>
      </c>
      <c r="N9" s="319" t="s">
        <v>291</v>
      </c>
      <c r="O9" s="320" t="s">
        <v>288</v>
      </c>
      <c r="P9" s="320" t="s">
        <v>289</v>
      </c>
      <c r="Q9" s="320" t="s">
        <v>290</v>
      </c>
      <c r="R9" s="320" t="s">
        <v>291</v>
      </c>
      <c r="S9" s="320" t="s">
        <v>292</v>
      </c>
      <c r="T9" s="318" t="s">
        <v>285</v>
      </c>
      <c r="U9" s="318" t="s">
        <v>286</v>
      </c>
      <c r="V9" s="318" t="s">
        <v>287</v>
      </c>
      <c r="W9" s="318" t="s">
        <v>293</v>
      </c>
      <c r="X9" s="318" t="s">
        <v>286</v>
      </c>
      <c r="Y9" s="318" t="s">
        <v>287</v>
      </c>
      <c r="Z9" s="318" t="s">
        <v>294</v>
      </c>
      <c r="AA9" s="318" t="s">
        <v>285</v>
      </c>
      <c r="AB9" s="318" t="s">
        <v>287</v>
      </c>
    </row>
    <row r="10" spans="1:28" s="321" customFormat="1" ht="14.4" x14ac:dyDescent="0.25">
      <c r="A10" s="322"/>
      <c r="B10" s="322"/>
      <c r="C10" s="322"/>
      <c r="D10" s="322"/>
      <c r="E10" s="322"/>
      <c r="F10" s="322"/>
      <c r="G10" s="323" t="s">
        <v>295</v>
      </c>
      <c r="H10" s="324"/>
      <c r="I10" s="324"/>
      <c r="J10" s="325">
        <v>7033647.3200000003</v>
      </c>
      <c r="K10" s="324"/>
      <c r="L10" s="324"/>
      <c r="M10" s="324"/>
      <c r="N10" s="324"/>
      <c r="O10" s="325">
        <v>6624348.3899999997</v>
      </c>
      <c r="P10" s="325">
        <v>232849.59</v>
      </c>
      <c r="Q10" s="325">
        <v>6857197.9900000002</v>
      </c>
      <c r="R10" s="325">
        <v>176449.33</v>
      </c>
      <c r="S10" s="325" t="s">
        <v>296</v>
      </c>
      <c r="T10" s="324"/>
      <c r="U10" s="324"/>
      <c r="V10" s="326">
        <f>SUBTOTAL(9,V11:V38)</f>
        <v>300449.31866137363</v>
      </c>
      <c r="W10" s="324"/>
      <c r="X10" s="324"/>
      <c r="Y10" s="326">
        <f>SUBTOTAL(9,Y11:Y38)</f>
        <v>7334096.6311881915</v>
      </c>
      <c r="Z10" s="322"/>
      <c r="AA10" s="324"/>
      <c r="AB10" s="326">
        <f>SUBTOTAL(9,AB11:AB38)</f>
        <v>476898.64118819049</v>
      </c>
    </row>
    <row r="11" spans="1:28" s="329" customFormat="1" ht="14.4" x14ac:dyDescent="0.3">
      <c r="A11" s="327" t="s">
        <v>297</v>
      </c>
      <c r="B11" s="327" t="s">
        <v>220</v>
      </c>
      <c r="C11" s="327" t="s">
        <v>298</v>
      </c>
      <c r="D11" s="327" t="s">
        <v>220</v>
      </c>
      <c r="E11" s="327" t="s">
        <v>220</v>
      </c>
      <c r="F11" s="327" t="s">
        <v>220</v>
      </c>
      <c r="G11" s="327" t="s">
        <v>299</v>
      </c>
      <c r="H11" s="328" t="s">
        <v>220</v>
      </c>
      <c r="I11" s="328" t="s">
        <v>220</v>
      </c>
      <c r="J11" s="328">
        <v>6983647.3200000003</v>
      </c>
      <c r="K11" s="328" t="s">
        <v>220</v>
      </c>
      <c r="L11" s="328" t="s">
        <v>220</v>
      </c>
      <c r="M11" s="328" t="s">
        <v>220</v>
      </c>
      <c r="N11" s="328" t="s">
        <v>220</v>
      </c>
      <c r="O11" s="328">
        <v>6611419.3300000001</v>
      </c>
      <c r="P11" s="328">
        <v>232849.59</v>
      </c>
      <c r="Q11" s="328">
        <v>6844268.9299999997</v>
      </c>
      <c r="R11" s="328">
        <v>139378.39000000001</v>
      </c>
      <c r="S11" s="328" t="s">
        <v>300</v>
      </c>
      <c r="T11" s="328"/>
      <c r="U11" s="328"/>
      <c r="V11" s="328">
        <f>SUBTOTAL(9,V12:V23)</f>
        <v>0</v>
      </c>
      <c r="W11" s="328"/>
      <c r="X11" s="328"/>
      <c r="Y11" s="328">
        <f>SUBTOTAL(9,Y12:Y23)</f>
        <v>6983647.3125268184</v>
      </c>
      <c r="Z11" s="327"/>
      <c r="AA11" s="328"/>
      <c r="AB11" s="328">
        <f>SUBTOTAL(9,AB12:AB23)</f>
        <v>139378.38252681683</v>
      </c>
    </row>
    <row r="12" spans="1:28" x14ac:dyDescent="0.25">
      <c r="A12" s="330" t="s">
        <v>259</v>
      </c>
      <c r="B12" s="330" t="s">
        <v>301</v>
      </c>
      <c r="C12" s="330" t="s">
        <v>302</v>
      </c>
      <c r="D12" s="330" t="s">
        <v>303</v>
      </c>
      <c r="E12" s="331" t="s">
        <v>304</v>
      </c>
      <c r="F12" s="331" t="s">
        <v>305</v>
      </c>
      <c r="G12" s="331" t="s">
        <v>306</v>
      </c>
      <c r="H12" s="332">
        <v>882</v>
      </c>
      <c r="I12" s="332">
        <v>398.47751314329997</v>
      </c>
      <c r="J12" s="332">
        <v>351457.17</v>
      </c>
      <c r="K12" s="333" t="s">
        <v>307</v>
      </c>
      <c r="L12" s="333" t="s">
        <v>308</v>
      </c>
      <c r="M12" s="333" t="s">
        <v>309</v>
      </c>
      <c r="N12" s="333" t="s">
        <v>310</v>
      </c>
      <c r="O12" s="334">
        <v>285509.14</v>
      </c>
      <c r="P12" s="334">
        <v>11157.37</v>
      </c>
      <c r="Q12" s="334">
        <v>296666.51</v>
      </c>
      <c r="R12" s="334">
        <v>54790.66</v>
      </c>
      <c r="S12" s="334" t="s">
        <v>311</v>
      </c>
      <c r="T12" s="335">
        <v>0</v>
      </c>
      <c r="U12" s="335">
        <f>I12</f>
        <v>398.47751314329997</v>
      </c>
      <c r="V12" s="335">
        <f>T12*U12</f>
        <v>0</v>
      </c>
      <c r="W12" s="335">
        <f>H12+T12</f>
        <v>882</v>
      </c>
      <c r="X12" s="335">
        <f>U12</f>
        <v>398.47751314329997</v>
      </c>
      <c r="Y12" s="335">
        <f>W12*X12</f>
        <v>351457.16659239057</v>
      </c>
      <c r="Z12" s="336"/>
      <c r="AA12" s="335">
        <f>W12-M12</f>
        <v>137.5</v>
      </c>
      <c r="AB12" s="335">
        <f>Y12-Q12</f>
        <v>54790.656592390558</v>
      </c>
    </row>
    <row r="13" spans="1:28" x14ac:dyDescent="0.25">
      <c r="A13" s="330" t="s">
        <v>261</v>
      </c>
      <c r="B13" s="330" t="s">
        <v>301</v>
      </c>
      <c r="C13" s="330" t="s">
        <v>312</v>
      </c>
      <c r="D13" s="330" t="s">
        <v>303</v>
      </c>
      <c r="E13" s="331" t="s">
        <v>313</v>
      </c>
      <c r="F13" s="331" t="s">
        <v>314</v>
      </c>
      <c r="G13" s="331" t="s">
        <v>315</v>
      </c>
      <c r="H13" s="332">
        <v>1124</v>
      </c>
      <c r="I13" s="332">
        <v>406.47095223909997</v>
      </c>
      <c r="J13" s="332">
        <v>456873.35</v>
      </c>
      <c r="K13" s="333" t="s">
        <v>316</v>
      </c>
      <c r="L13" s="333" t="s">
        <v>317</v>
      </c>
      <c r="M13" s="333" t="s">
        <v>316</v>
      </c>
      <c r="N13" s="333" t="s">
        <v>318</v>
      </c>
      <c r="O13" s="334">
        <v>697504.15</v>
      </c>
      <c r="P13" s="334">
        <v>0</v>
      </c>
      <c r="Q13" s="334">
        <v>697504.15</v>
      </c>
      <c r="R13" s="334">
        <v>-240630.8</v>
      </c>
      <c r="S13" s="334" t="s">
        <v>319</v>
      </c>
      <c r="T13" s="335">
        <v>0</v>
      </c>
      <c r="U13" s="335">
        <f t="shared" ref="U13:U23" si="0">I13</f>
        <v>406.47095223909997</v>
      </c>
      <c r="V13" s="335">
        <f t="shared" ref="V13:V23" si="1">T13*U13</f>
        <v>0</v>
      </c>
      <c r="W13" s="335">
        <f>H13+T13</f>
        <v>1124</v>
      </c>
      <c r="X13" s="335">
        <f>U13</f>
        <v>406.47095223909997</v>
      </c>
      <c r="Y13" s="335">
        <f>W13*X13</f>
        <v>456873.35031674837</v>
      </c>
      <c r="Z13" s="336"/>
      <c r="AA13" s="335">
        <f t="shared" ref="AA13:AA23" si="2">W13-M13</f>
        <v>-592</v>
      </c>
      <c r="AB13" s="335">
        <f t="shared" ref="AB13:AB23" si="3">Y13-Q13</f>
        <v>-240630.79968325165</v>
      </c>
    </row>
    <row r="14" spans="1:28" x14ac:dyDescent="0.25">
      <c r="A14" s="330" t="s">
        <v>320</v>
      </c>
      <c r="B14" s="330" t="s">
        <v>301</v>
      </c>
      <c r="C14" s="330" t="s">
        <v>321</v>
      </c>
      <c r="D14" s="330" t="s">
        <v>303</v>
      </c>
      <c r="E14" s="331" t="s">
        <v>322</v>
      </c>
      <c r="F14" s="331" t="s">
        <v>323</v>
      </c>
      <c r="G14" s="331" t="s">
        <v>324</v>
      </c>
      <c r="H14" s="332">
        <v>3286</v>
      </c>
      <c r="I14" s="332">
        <v>302.80690051969998</v>
      </c>
      <c r="J14" s="332">
        <v>995023.48</v>
      </c>
      <c r="K14" s="333" t="s">
        <v>325</v>
      </c>
      <c r="L14" s="333" t="s">
        <v>326</v>
      </c>
      <c r="M14" s="333" t="s">
        <v>327</v>
      </c>
      <c r="N14" s="333" t="s">
        <v>328</v>
      </c>
      <c r="O14" s="334">
        <v>891614.92</v>
      </c>
      <c r="P14" s="334">
        <v>53899.63</v>
      </c>
      <c r="Q14" s="334">
        <v>945514.55</v>
      </c>
      <c r="R14" s="334">
        <v>49508.93</v>
      </c>
      <c r="S14" s="334" t="s">
        <v>329</v>
      </c>
      <c r="T14" s="335">
        <v>0</v>
      </c>
      <c r="U14" s="335">
        <f t="shared" si="0"/>
        <v>302.80690051969998</v>
      </c>
      <c r="V14" s="335">
        <f t="shared" si="1"/>
        <v>0</v>
      </c>
      <c r="W14" s="335">
        <f t="shared" ref="W14:W23" si="4">H14+T14</f>
        <v>3286</v>
      </c>
      <c r="X14" s="335">
        <f t="shared" ref="X14:X23" si="5">U14</f>
        <v>302.80690051969998</v>
      </c>
      <c r="Y14" s="335">
        <f t="shared" ref="Y14:Y23" si="6">W14*X14</f>
        <v>995023.47510773409</v>
      </c>
      <c r="Z14" s="336"/>
      <c r="AA14" s="335">
        <f t="shared" si="2"/>
        <v>163.5</v>
      </c>
      <c r="AB14" s="335">
        <f t="shared" si="3"/>
        <v>49508.925107734045</v>
      </c>
    </row>
    <row r="15" spans="1:28" x14ac:dyDescent="0.25">
      <c r="A15" s="330" t="s">
        <v>330</v>
      </c>
      <c r="B15" s="330" t="s">
        <v>301</v>
      </c>
      <c r="C15" s="330" t="s">
        <v>331</v>
      </c>
      <c r="D15" s="330" t="s">
        <v>303</v>
      </c>
      <c r="E15" s="331" t="s">
        <v>322</v>
      </c>
      <c r="F15" s="331" t="s">
        <v>332</v>
      </c>
      <c r="G15" s="331" t="s">
        <v>333</v>
      </c>
      <c r="H15" s="332">
        <v>4504</v>
      </c>
      <c r="I15" s="332">
        <v>302.5566719139</v>
      </c>
      <c r="J15" s="332">
        <v>1362715.25</v>
      </c>
      <c r="K15" s="333" t="s">
        <v>334</v>
      </c>
      <c r="L15" s="333" t="s">
        <v>335</v>
      </c>
      <c r="M15" s="333" t="s">
        <v>336</v>
      </c>
      <c r="N15" s="333" t="s">
        <v>337</v>
      </c>
      <c r="O15" s="334">
        <v>1539105.79</v>
      </c>
      <c r="P15" s="334">
        <v>55972.98</v>
      </c>
      <c r="Q15" s="334">
        <v>1595078.77</v>
      </c>
      <c r="R15" s="334">
        <v>-232363.51999999999</v>
      </c>
      <c r="S15" s="334" t="s">
        <v>338</v>
      </c>
      <c r="T15" s="335">
        <v>0</v>
      </c>
      <c r="U15" s="335">
        <f t="shared" si="0"/>
        <v>302.5566719139</v>
      </c>
      <c r="V15" s="335">
        <f t="shared" si="1"/>
        <v>0</v>
      </c>
      <c r="W15" s="335">
        <f t="shared" si="4"/>
        <v>4504</v>
      </c>
      <c r="X15" s="335">
        <f t="shared" si="5"/>
        <v>302.5566719139</v>
      </c>
      <c r="Y15" s="335">
        <f t="shared" si="6"/>
        <v>1362715.2503002055</v>
      </c>
      <c r="Z15" s="336"/>
      <c r="AA15" s="335">
        <f t="shared" si="2"/>
        <v>-768</v>
      </c>
      <c r="AB15" s="335">
        <f t="shared" si="3"/>
        <v>-232363.51969979447</v>
      </c>
    </row>
    <row r="16" spans="1:28" x14ac:dyDescent="0.25">
      <c r="A16" s="330" t="s">
        <v>339</v>
      </c>
      <c r="B16" s="330" t="s">
        <v>301</v>
      </c>
      <c r="C16" s="330" t="s">
        <v>340</v>
      </c>
      <c r="D16" s="330" t="s">
        <v>303</v>
      </c>
      <c r="E16" s="331" t="s">
        <v>341</v>
      </c>
      <c r="F16" s="331" t="s">
        <v>342</v>
      </c>
      <c r="G16" s="331" t="s">
        <v>343</v>
      </c>
      <c r="H16" s="332">
        <v>4850</v>
      </c>
      <c r="I16" s="332">
        <v>172.0728416959</v>
      </c>
      <c r="J16" s="332">
        <v>834553.28</v>
      </c>
      <c r="K16" s="333" t="s">
        <v>344</v>
      </c>
      <c r="L16" s="333" t="s">
        <v>345</v>
      </c>
      <c r="M16" s="333" t="s">
        <v>346</v>
      </c>
      <c r="N16" s="333" t="s">
        <v>347</v>
      </c>
      <c r="O16" s="334">
        <v>741375.84</v>
      </c>
      <c r="P16" s="334">
        <v>22025.32</v>
      </c>
      <c r="Q16" s="334">
        <v>763401.16</v>
      </c>
      <c r="R16" s="334">
        <v>71152.12</v>
      </c>
      <c r="S16" s="334" t="s">
        <v>348</v>
      </c>
      <c r="T16" s="335">
        <v>0</v>
      </c>
      <c r="U16" s="335">
        <f t="shared" si="0"/>
        <v>172.0728416959</v>
      </c>
      <c r="V16" s="335">
        <f t="shared" si="1"/>
        <v>0</v>
      </c>
      <c r="W16" s="335">
        <f t="shared" si="4"/>
        <v>4850</v>
      </c>
      <c r="X16" s="335">
        <f t="shared" si="5"/>
        <v>172.0728416959</v>
      </c>
      <c r="Y16" s="335">
        <f t="shared" si="6"/>
        <v>834553.28222511499</v>
      </c>
      <c r="Z16" s="336"/>
      <c r="AA16" s="335">
        <f t="shared" si="2"/>
        <v>413.5</v>
      </c>
      <c r="AB16" s="335">
        <f t="shared" si="3"/>
        <v>71152.122225114959</v>
      </c>
    </row>
    <row r="17" spans="1:28" x14ac:dyDescent="0.25">
      <c r="A17" s="330" t="s">
        <v>349</v>
      </c>
      <c r="B17" s="330" t="s">
        <v>301</v>
      </c>
      <c r="C17" s="330" t="s">
        <v>350</v>
      </c>
      <c r="D17" s="330" t="s">
        <v>303</v>
      </c>
      <c r="E17" s="331" t="s">
        <v>341</v>
      </c>
      <c r="F17" s="331" t="s">
        <v>351</v>
      </c>
      <c r="G17" s="331" t="s">
        <v>352</v>
      </c>
      <c r="H17" s="332">
        <v>4195.9999467251</v>
      </c>
      <c r="I17" s="332">
        <v>139.12749700000001</v>
      </c>
      <c r="J17" s="332">
        <v>583778.97</v>
      </c>
      <c r="K17" s="333" t="s">
        <v>353</v>
      </c>
      <c r="L17" s="333" t="s">
        <v>354</v>
      </c>
      <c r="M17" s="333" t="s">
        <v>355</v>
      </c>
      <c r="N17" s="333" t="s">
        <v>356</v>
      </c>
      <c r="O17" s="334">
        <v>494389.56</v>
      </c>
      <c r="P17" s="334">
        <v>22538.65</v>
      </c>
      <c r="Q17" s="334">
        <v>516928.22</v>
      </c>
      <c r="R17" s="334">
        <v>66850.75</v>
      </c>
      <c r="S17" s="334" t="s">
        <v>357</v>
      </c>
      <c r="T17" s="335">
        <v>0</v>
      </c>
      <c r="U17" s="335">
        <f t="shared" si="0"/>
        <v>139.12749700000001</v>
      </c>
      <c r="V17" s="335">
        <f t="shared" si="1"/>
        <v>0</v>
      </c>
      <c r="W17" s="335">
        <f t="shared" si="4"/>
        <v>4195.9999467251</v>
      </c>
      <c r="X17" s="335">
        <f t="shared" si="5"/>
        <v>139.12749700000001</v>
      </c>
      <c r="Y17" s="335">
        <f t="shared" si="6"/>
        <v>583778.96999999648</v>
      </c>
      <c r="Z17" s="336"/>
      <c r="AA17" s="335">
        <f t="shared" si="2"/>
        <v>480.49994672510002</v>
      </c>
      <c r="AB17" s="335">
        <f t="shared" si="3"/>
        <v>66850.749999996508</v>
      </c>
    </row>
    <row r="18" spans="1:28" x14ac:dyDescent="0.25">
      <c r="A18" s="330" t="s">
        <v>358</v>
      </c>
      <c r="B18" s="330" t="s">
        <v>301</v>
      </c>
      <c r="C18" s="330" t="s">
        <v>359</v>
      </c>
      <c r="D18" s="330" t="s">
        <v>303</v>
      </c>
      <c r="E18" s="331" t="s">
        <v>360</v>
      </c>
      <c r="F18" s="331" t="s">
        <v>314</v>
      </c>
      <c r="G18" s="331" t="s">
        <v>361</v>
      </c>
      <c r="H18" s="332">
        <v>435</v>
      </c>
      <c r="I18" s="332">
        <v>406.47095223909997</v>
      </c>
      <c r="J18" s="332">
        <v>176814.86</v>
      </c>
      <c r="K18" s="333" t="s">
        <v>317</v>
      </c>
      <c r="L18" s="333" t="s">
        <v>317</v>
      </c>
      <c r="M18" s="333" t="s">
        <v>317</v>
      </c>
      <c r="N18" s="333" t="s">
        <v>362</v>
      </c>
      <c r="O18" s="334">
        <v>0</v>
      </c>
      <c r="P18" s="334">
        <v>0</v>
      </c>
      <c r="Q18" s="334">
        <v>0</v>
      </c>
      <c r="R18" s="334">
        <v>176814.86</v>
      </c>
      <c r="S18" s="334" t="s">
        <v>363</v>
      </c>
      <c r="T18" s="335">
        <v>0</v>
      </c>
      <c r="U18" s="335">
        <f t="shared" si="0"/>
        <v>406.47095223909997</v>
      </c>
      <c r="V18" s="335">
        <f t="shared" si="1"/>
        <v>0</v>
      </c>
      <c r="W18" s="335">
        <f t="shared" si="4"/>
        <v>435</v>
      </c>
      <c r="X18" s="335">
        <f t="shared" si="5"/>
        <v>406.47095223909997</v>
      </c>
      <c r="Y18" s="335">
        <f t="shared" si="6"/>
        <v>176814.86422400849</v>
      </c>
      <c r="Z18" s="336"/>
      <c r="AA18" s="335">
        <f t="shared" si="2"/>
        <v>435</v>
      </c>
      <c r="AB18" s="335">
        <f t="shared" si="3"/>
        <v>176814.86422400849</v>
      </c>
    </row>
    <row r="19" spans="1:28" x14ac:dyDescent="0.25">
      <c r="A19" s="330" t="s">
        <v>364</v>
      </c>
      <c r="B19" s="330" t="s">
        <v>301</v>
      </c>
      <c r="C19" s="330" t="s">
        <v>365</v>
      </c>
      <c r="D19" s="330" t="s">
        <v>303</v>
      </c>
      <c r="E19" s="331" t="s">
        <v>366</v>
      </c>
      <c r="F19" s="331" t="s">
        <v>367</v>
      </c>
      <c r="G19" s="331" t="s">
        <v>368</v>
      </c>
      <c r="H19" s="332">
        <v>1603</v>
      </c>
      <c r="I19" s="332">
        <v>349.45553114030002</v>
      </c>
      <c r="J19" s="332">
        <v>560177.22</v>
      </c>
      <c r="K19" s="333" t="s">
        <v>369</v>
      </c>
      <c r="L19" s="333" t="s">
        <v>317</v>
      </c>
      <c r="M19" s="333" t="s">
        <v>369</v>
      </c>
      <c r="N19" s="333" t="s">
        <v>370</v>
      </c>
      <c r="O19" s="334">
        <v>299483.39</v>
      </c>
      <c r="P19" s="334">
        <v>0</v>
      </c>
      <c r="Q19" s="334">
        <v>299483.39</v>
      </c>
      <c r="R19" s="334">
        <v>260693.83</v>
      </c>
      <c r="S19" s="334" t="s">
        <v>371</v>
      </c>
      <c r="T19" s="335">
        <v>0</v>
      </c>
      <c r="U19" s="335">
        <f t="shared" si="0"/>
        <v>349.45553114030002</v>
      </c>
      <c r="V19" s="335">
        <f t="shared" si="1"/>
        <v>0</v>
      </c>
      <c r="W19" s="335">
        <f t="shared" si="4"/>
        <v>1603</v>
      </c>
      <c r="X19" s="335">
        <f t="shared" si="5"/>
        <v>349.45553114030002</v>
      </c>
      <c r="Y19" s="335">
        <f t="shared" si="6"/>
        <v>560177.21641790099</v>
      </c>
      <c r="Z19" s="336"/>
      <c r="AA19" s="335">
        <f t="shared" si="2"/>
        <v>746</v>
      </c>
      <c r="AB19" s="335">
        <f t="shared" si="3"/>
        <v>260693.82641790097</v>
      </c>
    </row>
    <row r="20" spans="1:28" x14ac:dyDescent="0.25">
      <c r="A20" s="330" t="s">
        <v>372</v>
      </c>
      <c r="B20" s="330" t="s">
        <v>301</v>
      </c>
      <c r="C20" s="330" t="s">
        <v>373</v>
      </c>
      <c r="D20" s="330" t="s">
        <v>303</v>
      </c>
      <c r="E20" s="331" t="s">
        <v>322</v>
      </c>
      <c r="F20" s="331" t="s">
        <v>342</v>
      </c>
      <c r="G20" s="331" t="s">
        <v>374</v>
      </c>
      <c r="H20" s="332">
        <v>3101</v>
      </c>
      <c r="I20" s="332">
        <v>172.0728416959</v>
      </c>
      <c r="J20" s="332">
        <v>533597.88</v>
      </c>
      <c r="K20" s="333" t="s">
        <v>375</v>
      </c>
      <c r="L20" s="333" t="s">
        <v>376</v>
      </c>
      <c r="M20" s="333" t="s">
        <v>377</v>
      </c>
      <c r="N20" s="333" t="s">
        <v>378</v>
      </c>
      <c r="O20" s="334">
        <v>481201.7</v>
      </c>
      <c r="P20" s="334">
        <v>26843.360000000001</v>
      </c>
      <c r="Q20" s="334">
        <v>508045.07</v>
      </c>
      <c r="R20" s="334">
        <v>25552.82</v>
      </c>
      <c r="S20" s="334" t="s">
        <v>379</v>
      </c>
      <c r="T20" s="335">
        <v>0</v>
      </c>
      <c r="U20" s="335">
        <f t="shared" si="0"/>
        <v>172.0728416959</v>
      </c>
      <c r="V20" s="335">
        <f t="shared" si="1"/>
        <v>0</v>
      </c>
      <c r="W20" s="335">
        <f t="shared" si="4"/>
        <v>3101</v>
      </c>
      <c r="X20" s="335">
        <f t="shared" si="5"/>
        <v>172.0728416959</v>
      </c>
      <c r="Y20" s="335">
        <f t="shared" si="6"/>
        <v>533597.88209898584</v>
      </c>
      <c r="Z20" s="336"/>
      <c r="AA20" s="335">
        <f t="shared" si="2"/>
        <v>148.5</v>
      </c>
      <c r="AB20" s="335">
        <f t="shared" si="3"/>
        <v>25552.812098985829</v>
      </c>
    </row>
    <row r="21" spans="1:28" x14ac:dyDescent="0.25">
      <c r="A21" s="330" t="s">
        <v>380</v>
      </c>
      <c r="B21" s="330" t="s">
        <v>301</v>
      </c>
      <c r="C21" s="330" t="s">
        <v>381</v>
      </c>
      <c r="D21" s="330" t="s">
        <v>303</v>
      </c>
      <c r="E21" s="331" t="s">
        <v>341</v>
      </c>
      <c r="F21" s="331" t="s">
        <v>382</v>
      </c>
      <c r="G21" s="331" t="s">
        <v>383</v>
      </c>
      <c r="H21" s="332">
        <v>4911</v>
      </c>
      <c r="I21" s="332">
        <v>122.7595542647</v>
      </c>
      <c r="J21" s="332">
        <v>602872.17000000004</v>
      </c>
      <c r="K21" s="333" t="s">
        <v>384</v>
      </c>
      <c r="L21" s="333" t="s">
        <v>385</v>
      </c>
      <c r="M21" s="333" t="s">
        <v>386</v>
      </c>
      <c r="N21" s="333" t="s">
        <v>387</v>
      </c>
      <c r="O21" s="334">
        <v>719248.23</v>
      </c>
      <c r="P21" s="334">
        <v>16449.78</v>
      </c>
      <c r="Q21" s="334">
        <v>735698.01</v>
      </c>
      <c r="R21" s="334">
        <v>-132825.84</v>
      </c>
      <c r="S21" s="334" t="s">
        <v>388</v>
      </c>
      <c r="T21" s="335">
        <v>0</v>
      </c>
      <c r="U21" s="335">
        <f t="shared" si="0"/>
        <v>122.7595542647</v>
      </c>
      <c r="V21" s="335">
        <f t="shared" si="1"/>
        <v>0</v>
      </c>
      <c r="W21" s="335">
        <f t="shared" si="4"/>
        <v>4911</v>
      </c>
      <c r="X21" s="335">
        <f t="shared" si="5"/>
        <v>122.7595542647</v>
      </c>
      <c r="Y21" s="335">
        <f t="shared" si="6"/>
        <v>602872.17099394172</v>
      </c>
      <c r="Z21" s="336"/>
      <c r="AA21" s="335">
        <f t="shared" si="2"/>
        <v>-1082</v>
      </c>
      <c r="AB21" s="335">
        <f t="shared" si="3"/>
        <v>-132825.83900605829</v>
      </c>
    </row>
    <row r="22" spans="1:28" x14ac:dyDescent="0.25">
      <c r="A22" s="330" t="s">
        <v>389</v>
      </c>
      <c r="B22" s="330" t="s">
        <v>301</v>
      </c>
      <c r="C22" s="330" t="s">
        <v>390</v>
      </c>
      <c r="D22" s="330" t="s">
        <v>303</v>
      </c>
      <c r="E22" s="331" t="s">
        <v>341</v>
      </c>
      <c r="F22" s="331" t="s">
        <v>391</v>
      </c>
      <c r="G22" s="331" t="s">
        <v>392</v>
      </c>
      <c r="H22" s="332">
        <v>1131</v>
      </c>
      <c r="I22" s="332">
        <v>108.677584229</v>
      </c>
      <c r="J22" s="332">
        <v>122914.35</v>
      </c>
      <c r="K22" s="333" t="s">
        <v>393</v>
      </c>
      <c r="L22" s="333" t="s">
        <v>317</v>
      </c>
      <c r="M22" s="333" t="s">
        <v>393</v>
      </c>
      <c r="N22" s="333" t="s">
        <v>394</v>
      </c>
      <c r="O22" s="334">
        <v>84985.87</v>
      </c>
      <c r="P22" s="334">
        <v>0</v>
      </c>
      <c r="Q22" s="334">
        <v>84985.87</v>
      </c>
      <c r="R22" s="334">
        <v>37928.480000000003</v>
      </c>
      <c r="S22" s="334" t="s">
        <v>395</v>
      </c>
      <c r="T22" s="335">
        <v>0</v>
      </c>
      <c r="U22" s="335">
        <f t="shared" si="0"/>
        <v>108.677584229</v>
      </c>
      <c r="V22" s="335">
        <f t="shared" si="1"/>
        <v>0</v>
      </c>
      <c r="W22" s="335">
        <f t="shared" si="4"/>
        <v>1131</v>
      </c>
      <c r="X22" s="335">
        <f t="shared" si="5"/>
        <v>108.677584229</v>
      </c>
      <c r="Y22" s="335">
        <f t="shared" si="6"/>
        <v>122914.34776299901</v>
      </c>
      <c r="Z22" s="336"/>
      <c r="AA22" s="335">
        <f t="shared" si="2"/>
        <v>349</v>
      </c>
      <c r="AB22" s="335">
        <f t="shared" si="3"/>
        <v>37928.477762999013</v>
      </c>
    </row>
    <row r="23" spans="1:28" x14ac:dyDescent="0.25">
      <c r="A23" s="330" t="s">
        <v>396</v>
      </c>
      <c r="B23" s="330" t="s">
        <v>301</v>
      </c>
      <c r="C23" s="330" t="s">
        <v>397</v>
      </c>
      <c r="D23" s="330" t="s">
        <v>303</v>
      </c>
      <c r="E23" s="331" t="s">
        <v>322</v>
      </c>
      <c r="F23" s="331" t="s">
        <v>398</v>
      </c>
      <c r="G23" s="331" t="s">
        <v>399</v>
      </c>
      <c r="H23" s="332">
        <v>2959</v>
      </c>
      <c r="I23" s="332">
        <v>136.15050236120001</v>
      </c>
      <c r="J23" s="332">
        <v>402869.34</v>
      </c>
      <c r="K23" s="333" t="s">
        <v>400</v>
      </c>
      <c r="L23" s="333" t="s">
        <v>401</v>
      </c>
      <c r="M23" s="333" t="s">
        <v>402</v>
      </c>
      <c r="N23" s="333" t="s">
        <v>403</v>
      </c>
      <c r="O23" s="334">
        <v>377000.74</v>
      </c>
      <c r="P23" s="334">
        <v>23962.49</v>
      </c>
      <c r="Q23" s="334">
        <v>400963.23</v>
      </c>
      <c r="R23" s="334">
        <v>1906.11</v>
      </c>
      <c r="S23" s="334" t="s">
        <v>404</v>
      </c>
      <c r="T23" s="335">
        <v>0</v>
      </c>
      <c r="U23" s="335">
        <f t="shared" si="0"/>
        <v>136.15050236120001</v>
      </c>
      <c r="V23" s="335">
        <f t="shared" si="1"/>
        <v>0</v>
      </c>
      <c r="W23" s="335">
        <f t="shared" si="4"/>
        <v>2959</v>
      </c>
      <c r="X23" s="335">
        <f t="shared" si="5"/>
        <v>136.15050236120001</v>
      </c>
      <c r="Y23" s="335">
        <f t="shared" si="6"/>
        <v>402869.33648679085</v>
      </c>
      <c r="Z23" s="336"/>
      <c r="AA23" s="335">
        <f t="shared" si="2"/>
        <v>14</v>
      </c>
      <c r="AB23" s="335">
        <f t="shared" si="3"/>
        <v>1906.1064867908717</v>
      </c>
    </row>
    <row r="24" spans="1:28" s="329" customFormat="1" ht="14.4" x14ac:dyDescent="0.3">
      <c r="A24" s="327" t="s">
        <v>405</v>
      </c>
      <c r="B24" s="327" t="s">
        <v>220</v>
      </c>
      <c r="C24" s="327" t="s">
        <v>406</v>
      </c>
      <c r="D24" s="327" t="s">
        <v>220</v>
      </c>
      <c r="E24" s="327" t="s">
        <v>220</v>
      </c>
      <c r="F24" s="327" t="s">
        <v>220</v>
      </c>
      <c r="G24" s="327" t="s">
        <v>407</v>
      </c>
      <c r="H24" s="328" t="s">
        <v>220</v>
      </c>
      <c r="I24" s="328" t="s">
        <v>220</v>
      </c>
      <c r="J24" s="328">
        <v>50000</v>
      </c>
      <c r="K24" s="328" t="s">
        <v>220</v>
      </c>
      <c r="L24" s="328" t="s">
        <v>220</v>
      </c>
      <c r="M24" s="328" t="s">
        <v>220</v>
      </c>
      <c r="N24" s="328" t="s">
        <v>220</v>
      </c>
      <c r="O24" s="328">
        <v>12929.06</v>
      </c>
      <c r="P24" s="328">
        <v>0</v>
      </c>
      <c r="Q24" s="328">
        <v>12929.06</v>
      </c>
      <c r="R24" s="328">
        <v>37070.94</v>
      </c>
      <c r="S24" s="328" t="s">
        <v>408</v>
      </c>
      <c r="T24" s="328"/>
      <c r="U24" s="328"/>
      <c r="V24" s="328">
        <f>SUBTOTAL(9,V25:V25)</f>
        <v>0</v>
      </c>
      <c r="W24" s="328"/>
      <c r="X24" s="328"/>
      <c r="Y24" s="328">
        <f>SUBTOTAL(9,Y25:Y25)</f>
        <v>50000</v>
      </c>
      <c r="Z24" s="327"/>
      <c r="AA24" s="328"/>
      <c r="AB24" s="328">
        <f>SUBTOTAL(9,AB25:AB25)</f>
        <v>37070.94</v>
      </c>
    </row>
    <row r="25" spans="1:28" x14ac:dyDescent="0.25">
      <c r="A25" s="330" t="s">
        <v>409</v>
      </c>
      <c r="B25" s="330" t="s">
        <v>301</v>
      </c>
      <c r="C25" s="330" t="s">
        <v>237</v>
      </c>
      <c r="D25" s="330" t="s">
        <v>236</v>
      </c>
      <c r="E25" s="331" t="s">
        <v>410</v>
      </c>
      <c r="F25" s="331" t="s">
        <v>407</v>
      </c>
      <c r="G25" s="331" t="s">
        <v>407</v>
      </c>
      <c r="H25" s="332" t="s">
        <v>410</v>
      </c>
      <c r="I25" s="332">
        <v>50000</v>
      </c>
      <c r="J25" s="332">
        <v>50000</v>
      </c>
      <c r="K25" s="333" t="s">
        <v>411</v>
      </c>
      <c r="L25" s="333" t="s">
        <v>317</v>
      </c>
      <c r="M25" s="333" t="s">
        <v>411</v>
      </c>
      <c r="N25" s="333" t="s">
        <v>412</v>
      </c>
      <c r="O25" s="334">
        <v>12929.06</v>
      </c>
      <c r="P25" s="334">
        <v>0</v>
      </c>
      <c r="Q25" s="334">
        <v>12929.06</v>
      </c>
      <c r="R25" s="334">
        <v>37070.94</v>
      </c>
      <c r="S25" s="334" t="s">
        <v>408</v>
      </c>
      <c r="T25" s="335">
        <v>0</v>
      </c>
      <c r="U25" s="335">
        <f>I25</f>
        <v>50000</v>
      </c>
      <c r="V25" s="335">
        <f>T25*U25</f>
        <v>0</v>
      </c>
      <c r="W25" s="335">
        <f>H25+T25</f>
        <v>1</v>
      </c>
      <c r="X25" s="335">
        <f>U25</f>
        <v>50000</v>
      </c>
      <c r="Y25" s="335">
        <f>W25*X25</f>
        <v>50000</v>
      </c>
      <c r="Z25" s="336"/>
      <c r="AA25" s="335">
        <f>W25-M25</f>
        <v>0.74141879999999993</v>
      </c>
      <c r="AB25" s="335">
        <f>Y25-Q25</f>
        <v>37070.94</v>
      </c>
    </row>
    <row r="26" spans="1:28" s="329" customFormat="1" ht="14.4" x14ac:dyDescent="0.3">
      <c r="A26" s="337">
        <v>3</v>
      </c>
      <c r="B26" s="327" t="s">
        <v>220</v>
      </c>
      <c r="C26" s="327" t="s">
        <v>413</v>
      </c>
      <c r="D26" s="327" t="s">
        <v>220</v>
      </c>
      <c r="E26" s="327" t="s">
        <v>220</v>
      </c>
      <c r="F26" s="327" t="s">
        <v>220</v>
      </c>
      <c r="G26" s="327" t="s">
        <v>299</v>
      </c>
      <c r="H26" s="328" t="s">
        <v>220</v>
      </c>
      <c r="I26" s="328" t="s">
        <v>220</v>
      </c>
      <c r="J26" s="328"/>
      <c r="K26" s="328"/>
      <c r="L26" s="328"/>
      <c r="M26" s="328"/>
      <c r="N26" s="328"/>
      <c r="O26" s="328"/>
      <c r="P26" s="328"/>
      <c r="Q26" s="328"/>
      <c r="R26" s="328"/>
      <c r="S26" s="328"/>
      <c r="T26" s="328"/>
      <c r="U26" s="328"/>
      <c r="V26" s="328">
        <f>SUBTOTAL(9,V27:V38)</f>
        <v>300449.31866137363</v>
      </c>
      <c r="W26" s="328"/>
      <c r="X26" s="328"/>
      <c r="Y26" s="328">
        <f>SUBTOTAL(9,Y27:Y38)</f>
        <v>300449.31866137363</v>
      </c>
      <c r="Z26" s="327"/>
      <c r="AA26" s="328"/>
      <c r="AB26" s="328">
        <f>SUBTOTAL(9,AB27:AB38)</f>
        <v>300449.31866137363</v>
      </c>
    </row>
    <row r="27" spans="1:28" ht="14.4" x14ac:dyDescent="0.3">
      <c r="A27" s="338" t="s">
        <v>414</v>
      </c>
      <c r="B27" s="339" t="s">
        <v>415</v>
      </c>
      <c r="C27" s="330" t="s">
        <v>302</v>
      </c>
      <c r="D27" s="330" t="s">
        <v>303</v>
      </c>
      <c r="E27" s="331" t="s">
        <v>304</v>
      </c>
      <c r="F27" s="331" t="s">
        <v>305</v>
      </c>
      <c r="G27" s="331" t="s">
        <v>306</v>
      </c>
      <c r="H27" s="332"/>
      <c r="I27" s="332"/>
      <c r="J27" s="332"/>
      <c r="K27" s="333"/>
      <c r="L27" s="333"/>
      <c r="M27" s="333"/>
      <c r="N27" s="333"/>
      <c r="O27" s="334"/>
      <c r="P27" s="334"/>
      <c r="Q27" s="334"/>
      <c r="R27" s="334"/>
      <c r="S27" s="334"/>
      <c r="T27" s="340">
        <v>50</v>
      </c>
      <c r="U27" s="340">
        <v>419.17961538363278</v>
      </c>
      <c r="V27" s="340">
        <f>T27*U27</f>
        <v>20958.980769181639</v>
      </c>
      <c r="W27" s="335">
        <f>H27+T27</f>
        <v>50</v>
      </c>
      <c r="X27" s="335">
        <f>U27</f>
        <v>419.17961538363278</v>
      </c>
      <c r="Y27" s="335">
        <f>W27*X27</f>
        <v>20958.980769181639</v>
      </c>
      <c r="Z27" s="336"/>
      <c r="AA27" s="341">
        <f t="shared" ref="AA27:AA38" si="7">W27-M27</f>
        <v>50</v>
      </c>
      <c r="AB27" s="335">
        <f t="shared" ref="AB27:AB38" si="8">Y27-Q27</f>
        <v>20958.980769181639</v>
      </c>
    </row>
    <row r="28" spans="1:28" ht="14.4" x14ac:dyDescent="0.3">
      <c r="A28" s="338" t="s">
        <v>416</v>
      </c>
      <c r="B28" s="339" t="s">
        <v>415</v>
      </c>
      <c r="C28" s="330" t="s">
        <v>312</v>
      </c>
      <c r="D28" s="330" t="s">
        <v>303</v>
      </c>
      <c r="E28" s="331" t="s">
        <v>313</v>
      </c>
      <c r="F28" s="331" t="s">
        <v>314</v>
      </c>
      <c r="G28" s="331" t="s">
        <v>315</v>
      </c>
      <c r="H28" s="332"/>
      <c r="I28" s="332"/>
      <c r="J28" s="332"/>
      <c r="K28" s="333"/>
      <c r="L28" s="333"/>
      <c r="M28" s="333"/>
      <c r="N28" s="333"/>
      <c r="O28" s="334"/>
      <c r="P28" s="334"/>
      <c r="Q28" s="334"/>
      <c r="R28" s="334"/>
      <c r="S28" s="334"/>
      <c r="T28" s="340">
        <v>50</v>
      </c>
      <c r="U28" s="340">
        <v>427.58833762076648</v>
      </c>
      <c r="V28" s="340">
        <f t="shared" ref="V28:V38" si="9">T28*U28</f>
        <v>21379.416881038323</v>
      </c>
      <c r="W28" s="335">
        <f>H28+T28</f>
        <v>50</v>
      </c>
      <c r="X28" s="335">
        <f>U28</f>
        <v>427.58833762076648</v>
      </c>
      <c r="Y28" s="335">
        <f>W28*X28</f>
        <v>21379.416881038323</v>
      </c>
      <c r="Z28" s="336"/>
      <c r="AA28" s="341">
        <f t="shared" si="7"/>
        <v>50</v>
      </c>
      <c r="AB28" s="335">
        <f t="shared" si="8"/>
        <v>21379.416881038323</v>
      </c>
    </row>
    <row r="29" spans="1:28" ht="14.4" x14ac:dyDescent="0.3">
      <c r="A29" s="338" t="s">
        <v>417</v>
      </c>
      <c r="B29" s="339" t="s">
        <v>415</v>
      </c>
      <c r="C29" s="330" t="s">
        <v>321</v>
      </c>
      <c r="D29" s="330" t="s">
        <v>303</v>
      </c>
      <c r="E29" s="331" t="s">
        <v>322</v>
      </c>
      <c r="F29" s="331" t="s">
        <v>323</v>
      </c>
      <c r="G29" s="331" t="s">
        <v>324</v>
      </c>
      <c r="H29" s="332"/>
      <c r="I29" s="332"/>
      <c r="J29" s="332"/>
      <c r="K29" s="333"/>
      <c r="L29" s="333"/>
      <c r="M29" s="333"/>
      <c r="N29" s="333"/>
      <c r="O29" s="334"/>
      <c r="P29" s="334"/>
      <c r="Q29" s="334"/>
      <c r="R29" s="334"/>
      <c r="S29" s="334"/>
      <c r="T29" s="340">
        <v>310</v>
      </c>
      <c r="U29" s="340">
        <v>318.53862742235412</v>
      </c>
      <c r="V29" s="340">
        <f t="shared" si="9"/>
        <v>98746.974500929777</v>
      </c>
      <c r="W29" s="335">
        <f t="shared" ref="W29:W38" si="10">H29+T29</f>
        <v>310</v>
      </c>
      <c r="X29" s="335">
        <f t="shared" ref="X29:X38" si="11">U29</f>
        <v>318.53862742235412</v>
      </c>
      <c r="Y29" s="335">
        <f t="shared" ref="Y29:Y38" si="12">W29*X29</f>
        <v>98746.974500929777</v>
      </c>
      <c r="Z29" s="336"/>
      <c r="AA29" s="341">
        <f t="shared" si="7"/>
        <v>310</v>
      </c>
      <c r="AB29" s="335">
        <f t="shared" si="8"/>
        <v>98746.974500929777</v>
      </c>
    </row>
    <row r="30" spans="1:28" ht="14.4" x14ac:dyDescent="0.3">
      <c r="A30" s="338" t="s">
        <v>418</v>
      </c>
      <c r="B30" s="339" t="s">
        <v>415</v>
      </c>
      <c r="C30" s="330" t="s">
        <v>331</v>
      </c>
      <c r="D30" s="330" t="s">
        <v>303</v>
      </c>
      <c r="E30" s="331" t="s">
        <v>322</v>
      </c>
      <c r="F30" s="331" t="s">
        <v>332</v>
      </c>
      <c r="G30" s="331" t="s">
        <v>333</v>
      </c>
      <c r="H30" s="332"/>
      <c r="I30" s="332"/>
      <c r="J30" s="332"/>
      <c r="K30" s="333"/>
      <c r="L30" s="333"/>
      <c r="M30" s="333"/>
      <c r="N30" s="333"/>
      <c r="O30" s="334"/>
      <c r="P30" s="334"/>
      <c r="Q30" s="334"/>
      <c r="R30" s="334"/>
      <c r="S30" s="334"/>
      <c r="T30" s="340">
        <v>150</v>
      </c>
      <c r="U30" s="340">
        <v>318.27539868980722</v>
      </c>
      <c r="V30" s="340">
        <f t="shared" si="9"/>
        <v>47741.309803471086</v>
      </c>
      <c r="W30" s="335">
        <f t="shared" si="10"/>
        <v>150</v>
      </c>
      <c r="X30" s="335">
        <f t="shared" si="11"/>
        <v>318.27539868980722</v>
      </c>
      <c r="Y30" s="335">
        <f t="shared" si="12"/>
        <v>47741.309803471086</v>
      </c>
      <c r="Z30" s="336"/>
      <c r="AA30" s="341">
        <f t="shared" si="7"/>
        <v>150</v>
      </c>
      <c r="AB30" s="335">
        <f t="shared" si="8"/>
        <v>47741.309803471086</v>
      </c>
    </row>
    <row r="31" spans="1:28" ht="14.4" x14ac:dyDescent="0.3">
      <c r="A31" s="338" t="s">
        <v>419</v>
      </c>
      <c r="B31" s="339" t="s">
        <v>415</v>
      </c>
      <c r="C31" s="330" t="s">
        <v>340</v>
      </c>
      <c r="D31" s="330" t="s">
        <v>303</v>
      </c>
      <c r="E31" s="331" t="s">
        <v>341</v>
      </c>
      <c r="F31" s="331" t="s">
        <v>342</v>
      </c>
      <c r="G31" s="331" t="s">
        <v>343</v>
      </c>
      <c r="H31" s="332"/>
      <c r="I31" s="332"/>
      <c r="J31" s="332"/>
      <c r="K31" s="333"/>
      <c r="L31" s="333"/>
      <c r="M31" s="333"/>
      <c r="N31" s="333"/>
      <c r="O31" s="334"/>
      <c r="P31" s="334"/>
      <c r="Q31" s="334"/>
      <c r="R31" s="334"/>
      <c r="S31" s="334"/>
      <c r="T31" s="340">
        <v>170</v>
      </c>
      <c r="U31" s="340">
        <v>181.01254204053481</v>
      </c>
      <c r="V31" s="340">
        <f t="shared" si="9"/>
        <v>30772.132146890919</v>
      </c>
      <c r="W31" s="335">
        <f t="shared" si="10"/>
        <v>170</v>
      </c>
      <c r="X31" s="335">
        <f t="shared" si="11"/>
        <v>181.01254204053481</v>
      </c>
      <c r="Y31" s="335">
        <f t="shared" si="12"/>
        <v>30772.132146890919</v>
      </c>
      <c r="Z31" s="336"/>
      <c r="AA31" s="341">
        <f t="shared" si="7"/>
        <v>170</v>
      </c>
      <c r="AB31" s="335">
        <f t="shared" si="8"/>
        <v>30772.132146890919</v>
      </c>
    </row>
    <row r="32" spans="1:28" ht="14.4" x14ac:dyDescent="0.3">
      <c r="A32" s="338" t="s">
        <v>420</v>
      </c>
      <c r="B32" s="339" t="s">
        <v>415</v>
      </c>
      <c r="C32" s="330" t="s">
        <v>350</v>
      </c>
      <c r="D32" s="330" t="s">
        <v>303</v>
      </c>
      <c r="E32" s="331" t="s">
        <v>341</v>
      </c>
      <c r="F32" s="331" t="s">
        <v>351</v>
      </c>
      <c r="G32" s="331" t="s">
        <v>352</v>
      </c>
      <c r="H32" s="332"/>
      <c r="I32" s="332"/>
      <c r="J32" s="332"/>
      <c r="K32" s="333"/>
      <c r="L32" s="333"/>
      <c r="M32" s="333"/>
      <c r="N32" s="333"/>
      <c r="O32" s="334"/>
      <c r="P32" s="334"/>
      <c r="Q32" s="334"/>
      <c r="R32" s="334"/>
      <c r="S32" s="334"/>
      <c r="T32" s="340">
        <v>265</v>
      </c>
      <c r="U32" s="340">
        <v>146.35558557243334</v>
      </c>
      <c r="V32" s="340">
        <f t="shared" si="9"/>
        <v>38784.230176694837</v>
      </c>
      <c r="W32" s="335">
        <f t="shared" si="10"/>
        <v>265</v>
      </c>
      <c r="X32" s="335">
        <f t="shared" si="11"/>
        <v>146.35558557243334</v>
      </c>
      <c r="Y32" s="335">
        <f t="shared" si="12"/>
        <v>38784.230176694837</v>
      </c>
      <c r="Z32" s="336"/>
      <c r="AA32" s="341">
        <f t="shared" si="7"/>
        <v>265</v>
      </c>
      <c r="AB32" s="335">
        <f t="shared" si="8"/>
        <v>38784.230176694837</v>
      </c>
    </row>
    <row r="33" spans="1:28" ht="14.4" x14ac:dyDescent="0.3">
      <c r="A33" s="338" t="s">
        <v>421</v>
      </c>
      <c r="B33" s="339" t="s">
        <v>415</v>
      </c>
      <c r="C33" s="330" t="s">
        <v>359</v>
      </c>
      <c r="D33" s="330" t="s">
        <v>303</v>
      </c>
      <c r="E33" s="331" t="s">
        <v>360</v>
      </c>
      <c r="F33" s="331" t="s">
        <v>314</v>
      </c>
      <c r="G33" s="331" t="s">
        <v>361</v>
      </c>
      <c r="H33" s="332"/>
      <c r="I33" s="332"/>
      <c r="J33" s="332"/>
      <c r="K33" s="333"/>
      <c r="L33" s="333"/>
      <c r="M33" s="333"/>
      <c r="N33" s="333"/>
      <c r="O33" s="334"/>
      <c r="P33" s="334"/>
      <c r="Q33" s="334"/>
      <c r="R33" s="334"/>
      <c r="S33" s="334"/>
      <c r="T33" s="340">
        <v>0</v>
      </c>
      <c r="U33" s="340">
        <v>427.58833762076648</v>
      </c>
      <c r="V33" s="340">
        <f t="shared" si="9"/>
        <v>0</v>
      </c>
      <c r="W33" s="335">
        <f t="shared" si="10"/>
        <v>0</v>
      </c>
      <c r="X33" s="335">
        <f t="shared" si="11"/>
        <v>427.58833762076648</v>
      </c>
      <c r="Y33" s="335">
        <f t="shared" si="12"/>
        <v>0</v>
      </c>
      <c r="Z33" s="336"/>
      <c r="AA33" s="341">
        <f t="shared" si="7"/>
        <v>0</v>
      </c>
      <c r="AB33" s="335">
        <f t="shared" si="8"/>
        <v>0</v>
      </c>
    </row>
    <row r="34" spans="1:28" ht="14.4" x14ac:dyDescent="0.3">
      <c r="A34" s="338" t="s">
        <v>422</v>
      </c>
      <c r="B34" s="339" t="s">
        <v>415</v>
      </c>
      <c r="C34" s="330" t="s">
        <v>365</v>
      </c>
      <c r="D34" s="330" t="s">
        <v>303</v>
      </c>
      <c r="E34" s="331" t="s">
        <v>366</v>
      </c>
      <c r="F34" s="331" t="s">
        <v>367</v>
      </c>
      <c r="G34" s="331" t="s">
        <v>368</v>
      </c>
      <c r="H34" s="332"/>
      <c r="I34" s="332"/>
      <c r="J34" s="332"/>
      <c r="K34" s="333"/>
      <c r="L34" s="333"/>
      <c r="M34" s="333"/>
      <c r="N34" s="333"/>
      <c r="O34" s="334"/>
      <c r="P34" s="334"/>
      <c r="Q34" s="334"/>
      <c r="R34" s="334"/>
      <c r="S34" s="334"/>
      <c r="T34" s="340">
        <v>0</v>
      </c>
      <c r="U34" s="340">
        <v>367.61079434958168</v>
      </c>
      <c r="V34" s="340">
        <f t="shared" si="9"/>
        <v>0</v>
      </c>
      <c r="W34" s="335">
        <f t="shared" si="10"/>
        <v>0</v>
      </c>
      <c r="X34" s="335">
        <f t="shared" si="11"/>
        <v>367.61079434958168</v>
      </c>
      <c r="Y34" s="335">
        <f t="shared" si="12"/>
        <v>0</v>
      </c>
      <c r="Z34" s="336"/>
      <c r="AA34" s="341">
        <f t="shared" si="7"/>
        <v>0</v>
      </c>
      <c r="AB34" s="335">
        <f t="shared" si="8"/>
        <v>0</v>
      </c>
    </row>
    <row r="35" spans="1:28" ht="14.4" x14ac:dyDescent="0.3">
      <c r="A35" s="338" t="s">
        <v>423</v>
      </c>
      <c r="B35" s="339" t="s">
        <v>415</v>
      </c>
      <c r="C35" s="330" t="s">
        <v>373</v>
      </c>
      <c r="D35" s="330" t="s">
        <v>303</v>
      </c>
      <c r="E35" s="331" t="s">
        <v>322</v>
      </c>
      <c r="F35" s="331" t="s">
        <v>342</v>
      </c>
      <c r="G35" s="331" t="s">
        <v>374</v>
      </c>
      <c r="H35" s="332"/>
      <c r="I35" s="332"/>
      <c r="J35" s="332"/>
      <c r="K35" s="333"/>
      <c r="L35" s="333"/>
      <c r="M35" s="333"/>
      <c r="N35" s="333"/>
      <c r="O35" s="334"/>
      <c r="P35" s="334"/>
      <c r="Q35" s="334"/>
      <c r="R35" s="334"/>
      <c r="S35" s="334"/>
      <c r="T35" s="340">
        <v>120</v>
      </c>
      <c r="U35" s="340">
        <v>181.01254204053481</v>
      </c>
      <c r="V35" s="340">
        <f t="shared" si="9"/>
        <v>21721.505044864178</v>
      </c>
      <c r="W35" s="335">
        <f t="shared" si="10"/>
        <v>120</v>
      </c>
      <c r="X35" s="335">
        <f t="shared" si="11"/>
        <v>181.01254204053481</v>
      </c>
      <c r="Y35" s="335">
        <f t="shared" si="12"/>
        <v>21721.505044864178</v>
      </c>
      <c r="Z35" s="336"/>
      <c r="AA35" s="341">
        <f t="shared" si="7"/>
        <v>120</v>
      </c>
      <c r="AB35" s="335">
        <f t="shared" si="8"/>
        <v>21721.505044864178</v>
      </c>
    </row>
    <row r="36" spans="1:28" ht="14.4" x14ac:dyDescent="0.3">
      <c r="A36" s="338" t="s">
        <v>424</v>
      </c>
      <c r="B36" s="339" t="s">
        <v>415</v>
      </c>
      <c r="C36" s="330" t="s">
        <v>381</v>
      </c>
      <c r="D36" s="330" t="s">
        <v>303</v>
      </c>
      <c r="E36" s="331" t="s">
        <v>341</v>
      </c>
      <c r="F36" s="331" t="s">
        <v>382</v>
      </c>
      <c r="G36" s="331" t="s">
        <v>383</v>
      </c>
      <c r="H36" s="332"/>
      <c r="I36" s="332"/>
      <c r="J36" s="332"/>
      <c r="K36" s="333"/>
      <c r="L36" s="333"/>
      <c r="M36" s="333"/>
      <c r="N36" s="333"/>
      <c r="O36" s="334"/>
      <c r="P36" s="334"/>
      <c r="Q36" s="334"/>
      <c r="R36" s="334"/>
      <c r="S36" s="334"/>
      <c r="T36" s="340">
        <v>100</v>
      </c>
      <c r="U36" s="340">
        <v>129.13728138744085</v>
      </c>
      <c r="V36" s="340">
        <f t="shared" si="9"/>
        <v>12913.728138744085</v>
      </c>
      <c r="W36" s="335">
        <f t="shared" si="10"/>
        <v>100</v>
      </c>
      <c r="X36" s="335">
        <f t="shared" si="11"/>
        <v>129.13728138744085</v>
      </c>
      <c r="Y36" s="335">
        <f t="shared" si="12"/>
        <v>12913.728138744085</v>
      </c>
      <c r="Z36" s="336"/>
      <c r="AA36" s="341">
        <f t="shared" si="7"/>
        <v>100</v>
      </c>
      <c r="AB36" s="335">
        <f t="shared" si="8"/>
        <v>12913.728138744085</v>
      </c>
    </row>
    <row r="37" spans="1:28" ht="14.4" x14ac:dyDescent="0.3">
      <c r="A37" s="338" t="s">
        <v>425</v>
      </c>
      <c r="B37" s="339" t="s">
        <v>415</v>
      </c>
      <c r="C37" s="330" t="s">
        <v>390</v>
      </c>
      <c r="D37" s="330" t="s">
        <v>303</v>
      </c>
      <c r="E37" s="331" t="s">
        <v>341</v>
      </c>
      <c r="F37" s="331" t="s">
        <v>391</v>
      </c>
      <c r="G37" s="331" t="s">
        <v>392</v>
      </c>
      <c r="H37" s="332"/>
      <c r="I37" s="332"/>
      <c r="J37" s="332"/>
      <c r="K37" s="333"/>
      <c r="L37" s="333"/>
      <c r="M37" s="333"/>
      <c r="N37" s="333"/>
      <c r="O37" s="334"/>
      <c r="P37" s="334"/>
      <c r="Q37" s="334"/>
      <c r="R37" s="334"/>
      <c r="S37" s="334"/>
      <c r="T37" s="340">
        <v>65</v>
      </c>
      <c r="U37" s="340">
        <v>114.32371076244306</v>
      </c>
      <c r="V37" s="340">
        <f t="shared" si="9"/>
        <v>7431.0411995587983</v>
      </c>
      <c r="W37" s="335">
        <f t="shared" si="10"/>
        <v>65</v>
      </c>
      <c r="X37" s="335">
        <f t="shared" si="11"/>
        <v>114.32371076244306</v>
      </c>
      <c r="Y37" s="335">
        <f t="shared" si="12"/>
        <v>7431.0411995587983</v>
      </c>
      <c r="Z37" s="336"/>
      <c r="AA37" s="341">
        <f t="shared" si="7"/>
        <v>65</v>
      </c>
      <c r="AB37" s="335">
        <f t="shared" si="8"/>
        <v>7431.0411995587983</v>
      </c>
    </row>
    <row r="38" spans="1:28" ht="14.4" x14ac:dyDescent="0.3">
      <c r="A38" s="338" t="s">
        <v>426</v>
      </c>
      <c r="B38" s="339" t="s">
        <v>415</v>
      </c>
      <c r="C38" s="330" t="s">
        <v>397</v>
      </c>
      <c r="D38" s="330" t="s">
        <v>303</v>
      </c>
      <c r="E38" s="331" t="s">
        <v>322</v>
      </c>
      <c r="F38" s="331" t="s">
        <v>398</v>
      </c>
      <c r="G38" s="331" t="s">
        <v>399</v>
      </c>
      <c r="H38" s="332"/>
      <c r="I38" s="332"/>
      <c r="J38" s="332"/>
      <c r="K38" s="333"/>
      <c r="L38" s="333"/>
      <c r="M38" s="333"/>
      <c r="N38" s="333"/>
      <c r="O38" s="334"/>
      <c r="P38" s="334"/>
      <c r="Q38" s="334"/>
      <c r="R38" s="334"/>
      <c r="S38" s="334"/>
      <c r="T38" s="340">
        <v>0</v>
      </c>
      <c r="U38" s="340">
        <v>143.22392941041315</v>
      </c>
      <c r="V38" s="340">
        <f t="shared" si="9"/>
        <v>0</v>
      </c>
      <c r="W38" s="335">
        <f t="shared" si="10"/>
        <v>0</v>
      </c>
      <c r="X38" s="335">
        <f t="shared" si="11"/>
        <v>143.22392941041315</v>
      </c>
      <c r="Y38" s="335">
        <f t="shared" si="12"/>
        <v>0</v>
      </c>
      <c r="Z38" s="336"/>
      <c r="AA38" s="335">
        <f t="shared" si="7"/>
        <v>0</v>
      </c>
      <c r="AB38" s="335">
        <f t="shared" si="8"/>
        <v>0</v>
      </c>
    </row>
    <row r="39" spans="1:28" s="321" customFormat="1" ht="14.4" x14ac:dyDescent="0.25">
      <c r="A39" s="322"/>
      <c r="B39" s="322"/>
      <c r="C39" s="322"/>
      <c r="D39" s="322"/>
      <c r="E39" s="322"/>
      <c r="F39" s="322"/>
      <c r="G39" s="322"/>
      <c r="H39" s="322"/>
      <c r="I39" s="322"/>
      <c r="J39" s="322"/>
      <c r="K39" s="322"/>
      <c r="L39" s="322"/>
      <c r="M39" s="322"/>
      <c r="N39" s="322"/>
      <c r="O39" s="322"/>
      <c r="P39" s="322"/>
      <c r="Q39" s="322"/>
      <c r="R39" s="322"/>
      <c r="S39" s="322"/>
      <c r="T39" s="322"/>
      <c r="U39" s="322"/>
      <c r="V39" s="322"/>
      <c r="W39" s="322"/>
      <c r="X39" s="322"/>
      <c r="Y39" s="322"/>
      <c r="Z39" s="322"/>
      <c r="AA39" s="322"/>
      <c r="AB39" s="322"/>
    </row>
    <row r="41" spans="1:28" x14ac:dyDescent="0.25">
      <c r="V41" s="143">
        <f>SUM(V42:V53)</f>
        <v>285610.97241547809</v>
      </c>
    </row>
    <row r="42" spans="1:28" x14ac:dyDescent="0.25">
      <c r="T42">
        <v>50</v>
      </c>
      <c r="U42" s="143">
        <v>398.47751314329997</v>
      </c>
      <c r="V42" s="143">
        <f>T42*U42</f>
        <v>19923.875657164997</v>
      </c>
    </row>
    <row r="43" spans="1:28" x14ac:dyDescent="0.25">
      <c r="T43">
        <v>50</v>
      </c>
      <c r="U43" s="143">
        <v>406.47095223909997</v>
      </c>
      <c r="V43" s="143">
        <f t="shared" ref="V43:V53" si="13">T43*U43</f>
        <v>20323.547611955</v>
      </c>
    </row>
    <row r="44" spans="1:28" x14ac:dyDescent="0.25">
      <c r="T44">
        <v>310</v>
      </c>
      <c r="U44" s="143">
        <v>302.80690051969998</v>
      </c>
      <c r="V44" s="143">
        <f t="shared" si="13"/>
        <v>93870.139161106999</v>
      </c>
    </row>
    <row r="45" spans="1:28" x14ac:dyDescent="0.25">
      <c r="T45">
        <v>150</v>
      </c>
      <c r="U45" s="143">
        <v>302.5566719139</v>
      </c>
      <c r="V45" s="143">
        <f t="shared" si="13"/>
        <v>45383.500787085002</v>
      </c>
    </row>
    <row r="46" spans="1:28" x14ac:dyDescent="0.25">
      <c r="T46">
        <v>170</v>
      </c>
      <c r="U46" s="143">
        <v>172.0728416959</v>
      </c>
      <c r="V46" s="143">
        <f t="shared" si="13"/>
        <v>29252.383088302999</v>
      </c>
    </row>
    <row r="47" spans="1:28" x14ac:dyDescent="0.25">
      <c r="T47">
        <v>265</v>
      </c>
      <c r="U47" s="143">
        <v>139.12749700000001</v>
      </c>
      <c r="V47" s="143">
        <f t="shared" si="13"/>
        <v>36868.786704999999</v>
      </c>
    </row>
    <row r="48" spans="1:28" x14ac:dyDescent="0.25">
      <c r="T48">
        <v>0</v>
      </c>
      <c r="U48" s="143">
        <v>406.47095223909997</v>
      </c>
      <c r="V48" s="143">
        <f t="shared" si="13"/>
        <v>0</v>
      </c>
    </row>
    <row r="49" spans="20:22" x14ac:dyDescent="0.25">
      <c r="T49">
        <v>0</v>
      </c>
      <c r="U49" s="143">
        <v>349.45553114030002</v>
      </c>
      <c r="V49" s="143">
        <f t="shared" si="13"/>
        <v>0</v>
      </c>
    </row>
    <row r="50" spans="20:22" x14ac:dyDescent="0.25">
      <c r="T50">
        <v>120</v>
      </c>
      <c r="U50" s="143">
        <v>172.0728416959</v>
      </c>
      <c r="V50" s="143">
        <f t="shared" si="13"/>
        <v>20648.741003507999</v>
      </c>
    </row>
    <row r="51" spans="20:22" x14ac:dyDescent="0.25">
      <c r="T51">
        <v>100</v>
      </c>
      <c r="U51" s="143">
        <v>122.7595542647</v>
      </c>
      <c r="V51" s="143">
        <f t="shared" si="13"/>
        <v>12275.95542647</v>
      </c>
    </row>
    <row r="52" spans="20:22" x14ac:dyDescent="0.25">
      <c r="T52">
        <v>65</v>
      </c>
      <c r="U52" s="143">
        <v>108.677584229</v>
      </c>
      <c r="V52" s="143">
        <f t="shared" si="13"/>
        <v>7064.0429748850001</v>
      </c>
    </row>
    <row r="53" spans="20:22" x14ac:dyDescent="0.25">
      <c r="T53">
        <v>0</v>
      </c>
      <c r="U53" s="143">
        <v>136.15050236120001</v>
      </c>
      <c r="V53" s="143">
        <f t="shared" si="13"/>
        <v>0</v>
      </c>
    </row>
  </sheetData>
  <mergeCells count="10">
    <mergeCell ref="W7:Z8"/>
    <mergeCell ref="AA7:AB8"/>
    <mergeCell ref="K8:N8"/>
    <mergeCell ref="O8:S8"/>
    <mergeCell ref="A1:C2"/>
    <mergeCell ref="A7:D8"/>
    <mergeCell ref="E7:G8"/>
    <mergeCell ref="H7:J8"/>
    <mergeCell ref="K7:S7"/>
    <mergeCell ref="T7:V8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6E0D9-128E-4E74-9513-4DA2A958B931}">
  <dimension ref="C4:O9"/>
  <sheetViews>
    <sheetView showGridLines="0" workbookViewId="0">
      <selection activeCell="I14" sqref="I14"/>
    </sheetView>
  </sheetViews>
  <sheetFormatPr defaultRowHeight="13.2" x14ac:dyDescent="0.25"/>
  <cols>
    <col min="3" max="3" width="4.44140625" customWidth="1"/>
    <col min="4" max="4" width="39.6640625" customWidth="1"/>
    <col min="13" max="13" width="10" bestFit="1" customWidth="1"/>
  </cols>
  <sheetData>
    <row r="4" spans="3:15" ht="21" customHeight="1" x14ac:dyDescent="0.25">
      <c r="C4" s="605" t="s">
        <v>241</v>
      </c>
      <c r="D4" s="606" t="s">
        <v>263</v>
      </c>
      <c r="E4" s="607" t="s">
        <v>242</v>
      </c>
      <c r="F4" s="607"/>
      <c r="G4" s="607"/>
      <c r="H4" s="607"/>
      <c r="I4" s="607"/>
      <c r="J4" s="607"/>
      <c r="K4" s="607"/>
      <c r="L4" s="608" t="s">
        <v>264</v>
      </c>
      <c r="M4" s="608"/>
      <c r="N4" s="608" t="s">
        <v>243</v>
      </c>
      <c r="O4" s="608"/>
    </row>
    <row r="5" spans="3:15" ht="28.5" customHeight="1" x14ac:dyDescent="0.25">
      <c r="C5" s="605"/>
      <c r="D5" s="606"/>
      <c r="E5" s="283" t="s">
        <v>244</v>
      </c>
      <c r="F5" s="283" t="s">
        <v>245</v>
      </c>
      <c r="G5" s="283" t="s">
        <v>246</v>
      </c>
      <c r="H5" s="606" t="s">
        <v>247</v>
      </c>
      <c r="I5" s="606"/>
      <c r="J5" s="283" t="s">
        <v>248</v>
      </c>
      <c r="K5" s="284" t="s">
        <v>249</v>
      </c>
      <c r="L5" s="283" t="s">
        <v>248</v>
      </c>
      <c r="M5" s="284" t="s">
        <v>249</v>
      </c>
      <c r="N5" s="283" t="s">
        <v>248</v>
      </c>
      <c r="O5" s="284" t="s">
        <v>249</v>
      </c>
    </row>
    <row r="6" spans="3:15" ht="18" customHeight="1" x14ac:dyDescent="0.25">
      <c r="C6" s="605"/>
      <c r="D6" s="606"/>
      <c r="E6" s="285" t="s">
        <v>154</v>
      </c>
      <c r="F6" s="285" t="s">
        <v>155</v>
      </c>
      <c r="G6" s="285" t="s">
        <v>250</v>
      </c>
      <c r="H6" s="285" t="s">
        <v>251</v>
      </c>
      <c r="I6" s="285" t="s">
        <v>156</v>
      </c>
      <c r="J6" s="285" t="s">
        <v>252</v>
      </c>
      <c r="K6" s="286" t="s">
        <v>253</v>
      </c>
      <c r="L6" s="285" t="s">
        <v>254</v>
      </c>
      <c r="M6" s="286" t="s">
        <v>255</v>
      </c>
      <c r="N6" s="285" t="s">
        <v>256</v>
      </c>
      <c r="O6" s="286" t="s">
        <v>257</v>
      </c>
    </row>
    <row r="7" spans="3:15" ht="18.75" customHeight="1" x14ac:dyDescent="0.25">
      <c r="C7" s="287">
        <v>1</v>
      </c>
      <c r="D7" s="288" t="s">
        <v>258</v>
      </c>
      <c r="E7" s="289">
        <v>43891</v>
      </c>
      <c r="F7" s="289">
        <v>44228</v>
      </c>
      <c r="G7" s="290">
        <f>SUM(G8:G9)</f>
        <v>0.30595399037307458</v>
      </c>
      <c r="H7" s="291">
        <f>'2º Take Off'!V41</f>
        <v>285610.97241547809</v>
      </c>
      <c r="I7" s="290">
        <v>1</v>
      </c>
      <c r="J7" s="290">
        <f>SUM(J8:J9)</f>
        <v>5.255217061864384E-2</v>
      </c>
      <c r="K7" s="292">
        <f>SUM(K8:K9)</f>
        <v>15009.476552934982</v>
      </c>
      <c r="L7" s="290">
        <v>5.1999999999999998E-2</v>
      </c>
      <c r="M7" s="292">
        <f>H7*L7</f>
        <v>14851.77056560486</v>
      </c>
      <c r="N7" s="603">
        <f>L7-J7</f>
        <v>-5.5217061864384215E-4</v>
      </c>
      <c r="O7" s="604">
        <f>M7-K7</f>
        <v>-157.7059873301223</v>
      </c>
    </row>
    <row r="8" spans="3:15" ht="25.5" customHeight="1" x14ac:dyDescent="0.25">
      <c r="C8" s="293" t="s">
        <v>259</v>
      </c>
      <c r="D8" s="294" t="s">
        <v>260</v>
      </c>
      <c r="E8" s="295">
        <f>[3]Cesta!$E$6</f>
        <v>764.27599999999995</v>
      </c>
      <c r="F8" s="295">
        <f>[3]Cesta!$F$6</f>
        <v>977.13300000000004</v>
      </c>
      <c r="G8" s="296">
        <f>F8/E8-1</f>
        <v>0.27850802589640411</v>
      </c>
      <c r="H8" s="297">
        <f>$H$7*I8</f>
        <v>28561.09724154781</v>
      </c>
      <c r="I8" s="298">
        <v>0.1</v>
      </c>
      <c r="J8" s="299">
        <f>G8*I8</f>
        <v>2.7850802589640414E-2</v>
      </c>
      <c r="K8" s="297">
        <f>J8*$H$7</f>
        <v>7954.494810178714</v>
      </c>
      <c r="L8" s="300"/>
      <c r="M8" s="301"/>
      <c r="N8" s="603"/>
      <c r="O8" s="604"/>
    </row>
    <row r="9" spans="3:15" ht="26.25" customHeight="1" x14ac:dyDescent="0.25">
      <c r="C9" s="293" t="s">
        <v>261</v>
      </c>
      <c r="D9" s="294" t="s">
        <v>262</v>
      </c>
      <c r="E9" s="295">
        <f>'[3]Indice FGV'!F24</f>
        <v>585.58699999999999</v>
      </c>
      <c r="F9" s="295">
        <f>[3]Cesta!$F$7</f>
        <v>601.65899999999999</v>
      </c>
      <c r="G9" s="296">
        <f t="shared" ref="G9" si="0">F9/E9-1</f>
        <v>2.744596447667047E-2</v>
      </c>
      <c r="H9" s="297">
        <f>$H$7*I9</f>
        <v>257049.87517393028</v>
      </c>
      <c r="I9" s="298">
        <v>0.9</v>
      </c>
      <c r="J9" s="299">
        <f>G9*I9</f>
        <v>2.4701368029003423E-2</v>
      </c>
      <c r="K9" s="297">
        <f>J9*$H$7</f>
        <v>7054.9817427562684</v>
      </c>
      <c r="L9" s="300"/>
      <c r="M9" s="301"/>
      <c r="N9" s="603"/>
      <c r="O9" s="604"/>
    </row>
  </sheetData>
  <mergeCells count="8">
    <mergeCell ref="N7:N9"/>
    <mergeCell ref="O7:O9"/>
    <mergeCell ref="C4:C6"/>
    <mergeCell ref="D4:D6"/>
    <mergeCell ref="E4:K4"/>
    <mergeCell ref="L4:M4"/>
    <mergeCell ref="N4:O4"/>
    <mergeCell ref="H5:I5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D7247-A1AD-4DB6-B249-19D84527E8A8}">
  <sheetPr codeName="Planilha2"/>
  <dimension ref="A1:R15"/>
  <sheetViews>
    <sheetView showGridLines="0" workbookViewId="0">
      <selection activeCell="M21" sqref="M21"/>
    </sheetView>
  </sheetViews>
  <sheetFormatPr defaultRowHeight="13.2" x14ac:dyDescent="0.25"/>
  <sheetData>
    <row r="1" spans="1:18" ht="13.8" thickBot="1" x14ac:dyDescent="0.3"/>
    <row r="2" spans="1:18" ht="13.8" x14ac:dyDescent="0.25">
      <c r="A2" s="148" t="s">
        <v>44</v>
      </c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50"/>
    </row>
    <row r="3" spans="1:18" ht="13.8" x14ac:dyDescent="0.25">
      <c r="A3" s="152"/>
      <c r="B3" s="151"/>
      <c r="C3" s="151"/>
      <c r="D3" s="151"/>
      <c r="E3" s="151"/>
      <c r="F3" s="151"/>
      <c r="G3" s="151"/>
      <c r="H3" s="151"/>
      <c r="I3" s="151" t="s">
        <v>133</v>
      </c>
      <c r="J3" s="151"/>
      <c r="K3" s="151"/>
      <c r="L3" s="2"/>
      <c r="M3" s="151"/>
      <c r="N3" s="151"/>
      <c r="O3" s="151"/>
      <c r="P3" s="151"/>
      <c r="Q3" s="151"/>
      <c r="R3" s="153"/>
    </row>
    <row r="4" spans="1:18" ht="13.8" x14ac:dyDescent="0.25">
      <c r="A4" s="152" t="s">
        <v>123</v>
      </c>
      <c r="B4" s="145" t="s">
        <v>136</v>
      </c>
      <c r="C4" s="145"/>
      <c r="D4" s="151"/>
      <c r="E4" s="151"/>
      <c r="F4" s="151"/>
      <c r="G4" s="151"/>
      <c r="H4" s="147" t="s">
        <v>121</v>
      </c>
      <c r="I4" s="145" t="str">
        <f>IF($H4="sim","","Justificativa:")</f>
        <v/>
      </c>
      <c r="J4" s="610"/>
      <c r="K4" s="610"/>
      <c r="L4" s="610"/>
      <c r="M4" s="610"/>
      <c r="N4" s="610"/>
      <c r="O4" s="610"/>
      <c r="P4" s="155" t="str">
        <f>IF($H4="não","Aprovado por: 
(nome /área/função)","")</f>
        <v/>
      </c>
      <c r="Q4" s="151"/>
      <c r="R4" s="153"/>
    </row>
    <row r="5" spans="1:18" ht="13.8" x14ac:dyDescent="0.25">
      <c r="A5" s="152" t="s">
        <v>124</v>
      </c>
      <c r="B5" s="145" t="s">
        <v>135</v>
      </c>
      <c r="C5" s="145"/>
      <c r="D5" s="151"/>
      <c r="E5" s="151"/>
      <c r="F5" s="151"/>
      <c r="G5" s="151"/>
      <c r="H5" s="147" t="s">
        <v>122</v>
      </c>
      <c r="I5" s="145" t="str">
        <f>IF($H5="sim","Justificativa:","")</f>
        <v/>
      </c>
      <c r="J5" s="610"/>
      <c r="K5" s="610"/>
      <c r="L5" s="610"/>
      <c r="M5" s="610"/>
      <c r="N5" s="610"/>
      <c r="O5" s="610"/>
      <c r="P5" s="155" t="str">
        <f>IF($H5="sim","Aprovado por: 
(nome /área/função)","")</f>
        <v/>
      </c>
      <c r="Q5" s="154"/>
      <c r="R5" s="153"/>
    </row>
    <row r="6" spans="1:18" ht="13.8" x14ac:dyDescent="0.25">
      <c r="A6" s="152" t="s">
        <v>125</v>
      </c>
      <c r="B6" s="145" t="s">
        <v>134</v>
      </c>
      <c r="C6" s="145"/>
      <c r="D6" s="151"/>
      <c r="E6" s="151"/>
      <c r="F6" s="151"/>
      <c r="G6" s="151"/>
      <c r="H6" s="147" t="s">
        <v>121</v>
      </c>
      <c r="I6" s="145" t="str">
        <f>IF($H6="sim","Moeda negociada:","")</f>
        <v>Moeda negociada:</v>
      </c>
      <c r="J6" s="2"/>
      <c r="K6" s="151"/>
      <c r="L6" s="2"/>
      <c r="M6" s="609"/>
      <c r="N6" s="609"/>
      <c r="O6" s="145" t="str">
        <f>IF($H6="sim","Taxa cambio:","")</f>
        <v>Taxa cambio:</v>
      </c>
      <c r="P6" s="151"/>
      <c r="Q6" s="145" t="str">
        <f>IF($H6="sim","Valor final:","")</f>
        <v>Valor final:</v>
      </c>
      <c r="R6" s="153"/>
    </row>
    <row r="7" spans="1:18" ht="13.8" x14ac:dyDescent="0.25">
      <c r="A7" s="152" t="s">
        <v>126</v>
      </c>
      <c r="B7" s="145" t="s">
        <v>137</v>
      </c>
      <c r="C7" s="145"/>
      <c r="D7" s="151"/>
      <c r="E7" s="151"/>
      <c r="F7" s="151"/>
      <c r="G7" s="151"/>
      <c r="H7" s="147" t="s">
        <v>122</v>
      </c>
      <c r="I7" s="145" t="str">
        <f>IF($H7="sim","Justificativa:","")</f>
        <v/>
      </c>
      <c r="J7" s="2"/>
      <c r="K7" s="151"/>
      <c r="L7" s="2"/>
      <c r="M7" s="151"/>
      <c r="N7" s="151"/>
      <c r="O7" s="151"/>
      <c r="P7" s="151"/>
      <c r="Q7" s="151"/>
      <c r="R7" s="153"/>
    </row>
    <row r="8" spans="1:18" ht="13.8" x14ac:dyDescent="0.25">
      <c r="A8" s="152" t="s">
        <v>127</v>
      </c>
      <c r="B8" s="145" t="s">
        <v>138</v>
      </c>
      <c r="C8" s="145"/>
      <c r="D8" s="151"/>
      <c r="E8" s="151"/>
      <c r="F8" s="151"/>
      <c r="G8" s="151"/>
      <c r="H8" s="147" t="s">
        <v>141</v>
      </c>
      <c r="I8" s="145"/>
      <c r="J8" s="2"/>
      <c r="K8" s="151"/>
      <c r="L8" s="2"/>
      <c r="M8" s="151"/>
      <c r="N8" s="151"/>
      <c r="O8" s="151"/>
      <c r="P8" s="151"/>
      <c r="Q8" s="151"/>
      <c r="R8" s="153"/>
    </row>
    <row r="9" spans="1:18" ht="13.8" x14ac:dyDescent="0.25">
      <c r="A9" s="152" t="s">
        <v>128</v>
      </c>
      <c r="B9" s="145" t="s">
        <v>139</v>
      </c>
      <c r="C9" s="145"/>
      <c r="D9" s="151"/>
      <c r="E9" s="151"/>
      <c r="F9" s="151"/>
      <c r="G9" s="151"/>
      <c r="H9" s="147" t="s">
        <v>122</v>
      </c>
      <c r="I9" s="145" t="str">
        <f>IF(H9="sim","","JUSTIFICATIVA:")</f>
        <v>JUSTIFICATIVA:</v>
      </c>
      <c r="J9" s="2"/>
      <c r="K9" s="151"/>
      <c r="L9" s="2"/>
      <c r="M9" s="151"/>
      <c r="N9" s="151"/>
      <c r="O9" s="151"/>
      <c r="P9" s="151"/>
      <c r="Q9" s="151"/>
      <c r="R9" s="153"/>
    </row>
    <row r="10" spans="1:18" ht="13.8" x14ac:dyDescent="0.25">
      <c r="A10" s="152" t="s">
        <v>129</v>
      </c>
      <c r="B10" s="145" t="s">
        <v>140</v>
      </c>
      <c r="C10" s="145"/>
      <c r="D10" s="151"/>
      <c r="E10" s="151"/>
      <c r="F10" s="151"/>
      <c r="G10" s="151"/>
      <c r="H10" s="147" t="s">
        <v>122</v>
      </c>
      <c r="I10" s="145" t="str">
        <f>IF(H10="sim","","JUSTIFICATIVA:")</f>
        <v>JUSTIFICATIVA:</v>
      </c>
      <c r="J10" s="2"/>
      <c r="K10" s="151"/>
      <c r="L10" s="2"/>
      <c r="M10" s="151"/>
      <c r="N10" s="151"/>
      <c r="O10" s="151"/>
      <c r="P10" s="151"/>
      <c r="Q10" s="151"/>
      <c r="R10" s="153"/>
    </row>
    <row r="11" spans="1:18" ht="13.8" x14ac:dyDescent="0.25">
      <c r="A11" s="152" t="s">
        <v>130</v>
      </c>
      <c r="B11" s="145"/>
      <c r="C11" s="145"/>
      <c r="D11" s="151"/>
      <c r="E11" s="151"/>
      <c r="F11" s="151"/>
      <c r="G11" s="151"/>
      <c r="H11" s="147" t="s">
        <v>122</v>
      </c>
      <c r="I11" s="145" t="str">
        <f>IF(H11="sim","","JUSTIFICATIVA:")</f>
        <v>JUSTIFICATIVA:</v>
      </c>
      <c r="J11" s="2"/>
      <c r="K11" s="151"/>
      <c r="L11" s="2"/>
      <c r="M11" s="151"/>
      <c r="N11" s="151"/>
      <c r="O11" s="151"/>
      <c r="P11" s="151"/>
      <c r="Q11" s="151"/>
      <c r="R11" s="153"/>
    </row>
    <row r="12" spans="1:18" ht="13.8" x14ac:dyDescent="0.25">
      <c r="A12" s="152" t="s">
        <v>131</v>
      </c>
      <c r="B12" s="151"/>
      <c r="C12" s="151"/>
      <c r="D12" s="151"/>
      <c r="E12" s="151"/>
      <c r="F12" s="151"/>
      <c r="G12" s="151"/>
      <c r="H12" s="151"/>
      <c r="I12" s="151"/>
      <c r="J12" s="151"/>
      <c r="K12" s="151"/>
      <c r="L12" s="2"/>
      <c r="M12" s="151"/>
      <c r="N12" s="151"/>
      <c r="O12" s="151"/>
      <c r="P12" s="151"/>
      <c r="Q12" s="151"/>
      <c r="R12" s="153"/>
    </row>
    <row r="13" spans="1:18" ht="13.8" x14ac:dyDescent="0.25">
      <c r="A13" s="152" t="s">
        <v>132</v>
      </c>
      <c r="B13" s="151"/>
      <c r="C13" s="151"/>
      <c r="D13" s="151"/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R13" s="153"/>
    </row>
    <row r="14" spans="1:18" ht="13.8" x14ac:dyDescent="0.25">
      <c r="A14" s="152"/>
      <c r="B14" s="151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3"/>
    </row>
    <row r="15" spans="1:18" ht="13.8" thickBot="1" x14ac:dyDescent="0.3">
      <c r="A15" s="74"/>
      <c r="B15" s="75"/>
      <c r="C15" s="75"/>
      <c r="D15" s="75"/>
      <c r="E15" s="75"/>
      <c r="F15" s="75"/>
      <c r="G15" s="76"/>
      <c r="H15" s="76"/>
      <c r="I15" s="76"/>
      <c r="J15" s="73"/>
      <c r="K15" s="73"/>
      <c r="L15" s="73"/>
      <c r="M15" s="73"/>
      <c r="N15" s="75"/>
      <c r="O15" s="76"/>
      <c r="P15" s="76"/>
      <c r="Q15" s="76"/>
      <c r="R15" s="77"/>
    </row>
  </sheetData>
  <mergeCells count="3">
    <mergeCell ref="M6:N6"/>
    <mergeCell ref="J4:O4"/>
    <mergeCell ref="J5:O5"/>
  </mergeCells>
  <dataValidations count="2">
    <dataValidation type="list" allowBlank="1" showInputMessage="1" showErrorMessage="1" sqref="H8" xr:uid="{004594E9-7A0E-4707-A303-3FEF9664AF23}">
      <formula1>"MRN,CONTRATADA"</formula1>
    </dataValidation>
    <dataValidation type="list" allowBlank="1" showInputMessage="1" showErrorMessage="1" sqref="H4:H7 H9:H11" xr:uid="{CE672832-17B5-4055-8A35-8767925C1C16}">
      <formula1>"SIM,NÃO"</formula1>
    </dataValidation>
  </dataValidation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96550-665D-4CAD-AF2F-7CA42EDDD69D}">
  <sheetPr codeName="Planilha3"/>
  <dimension ref="C2:N13"/>
  <sheetViews>
    <sheetView showGridLines="0" workbookViewId="0">
      <selection activeCell="M17" sqref="M17"/>
    </sheetView>
  </sheetViews>
  <sheetFormatPr defaultRowHeight="13.2" x14ac:dyDescent="0.25"/>
  <cols>
    <col min="4" max="13" width="12.6640625" customWidth="1"/>
  </cols>
  <sheetData>
    <row r="2" spans="3:14" ht="13.8" thickBot="1" x14ac:dyDescent="0.3">
      <c r="D2" s="611" t="s">
        <v>142</v>
      </c>
      <c r="E2" s="612"/>
      <c r="F2" s="612"/>
      <c r="G2" s="612"/>
      <c r="H2" s="612"/>
      <c r="I2" s="612"/>
      <c r="J2" s="612"/>
      <c r="K2" s="612"/>
      <c r="L2" s="612"/>
      <c r="M2" s="612"/>
      <c r="N2" s="612"/>
    </row>
    <row r="3" spans="3:14" ht="24" thickTop="1" thickBot="1" x14ac:dyDescent="0.3">
      <c r="D3" s="156" t="s">
        <v>143</v>
      </c>
      <c r="E3" s="156" t="s">
        <v>153</v>
      </c>
      <c r="F3" s="156" t="s">
        <v>144</v>
      </c>
      <c r="G3" s="156" t="s">
        <v>145</v>
      </c>
      <c r="H3" s="156" t="s">
        <v>146</v>
      </c>
      <c r="I3" s="156" t="s">
        <v>147</v>
      </c>
      <c r="J3" s="156" t="s">
        <v>148</v>
      </c>
      <c r="K3" s="157" t="s">
        <v>149</v>
      </c>
      <c r="L3" s="156" t="s">
        <v>150</v>
      </c>
      <c r="M3" s="157" t="s">
        <v>151</v>
      </c>
      <c r="N3" s="157" t="s">
        <v>197</v>
      </c>
    </row>
    <row r="4" spans="3:14" ht="15" customHeight="1" thickTop="1" thickBot="1" x14ac:dyDescent="0.3">
      <c r="C4" s="613" t="s">
        <v>198</v>
      </c>
      <c r="D4" s="158" t="str">
        <f ca="1">IF($D4="","","Previsto")</f>
        <v>Previsto</v>
      </c>
      <c r="E4" s="158">
        <v>44099</v>
      </c>
      <c r="F4" s="158">
        <f>E4</f>
        <v>44099</v>
      </c>
      <c r="G4" s="158">
        <f>F4+4</f>
        <v>44103</v>
      </c>
      <c r="H4" s="158">
        <f>G4+5</f>
        <v>44108</v>
      </c>
      <c r="I4" s="158">
        <f>H4+8</f>
        <v>44116</v>
      </c>
      <c r="J4" s="158">
        <f>I4+10</f>
        <v>44126</v>
      </c>
      <c r="K4" s="158">
        <f>J4+5</f>
        <v>44131</v>
      </c>
      <c r="L4" s="158">
        <f>K4+13</f>
        <v>44144</v>
      </c>
      <c r="M4" s="158">
        <f>L4+12</f>
        <v>44156</v>
      </c>
      <c r="N4" s="159">
        <f>M4-E4</f>
        <v>57</v>
      </c>
    </row>
    <row r="5" spans="3:14" ht="15" customHeight="1" thickTop="1" thickBot="1" x14ac:dyDescent="0.3">
      <c r="C5" s="614"/>
      <c r="D5" s="158" t="s">
        <v>152</v>
      </c>
      <c r="E5" s="158">
        <f>E4</f>
        <v>44099</v>
      </c>
      <c r="F5" s="158">
        <v>44123</v>
      </c>
      <c r="G5" s="158">
        <v>44123</v>
      </c>
      <c r="H5" s="158">
        <v>44147</v>
      </c>
      <c r="I5" s="158">
        <v>44158</v>
      </c>
      <c r="J5" s="158">
        <v>44336</v>
      </c>
      <c r="K5" s="158">
        <v>44343</v>
      </c>
      <c r="L5" s="158">
        <v>44418</v>
      </c>
      <c r="M5" s="158">
        <f>L5+20</f>
        <v>44438</v>
      </c>
      <c r="N5" s="159">
        <f>M5-E5</f>
        <v>339</v>
      </c>
    </row>
    <row r="6" spans="3:14" ht="15" customHeight="1" thickTop="1" thickBot="1" x14ac:dyDescent="0.3">
      <c r="C6" s="615"/>
      <c r="D6" s="158" t="str">
        <f ca="1">IF($D4="","","Desvio")</f>
        <v>Desvio</v>
      </c>
      <c r="E6" s="159">
        <f>E5-E4</f>
        <v>0</v>
      </c>
      <c r="F6" s="159">
        <f t="shared" ref="F6:L6" si="0">F5-F4</f>
        <v>24</v>
      </c>
      <c r="G6" s="159">
        <f t="shared" si="0"/>
        <v>20</v>
      </c>
      <c r="H6" s="159">
        <f t="shared" si="0"/>
        <v>39</v>
      </c>
      <c r="I6" s="159">
        <f t="shared" si="0"/>
        <v>42</v>
      </c>
      <c r="J6" s="159">
        <f t="shared" si="0"/>
        <v>210</v>
      </c>
      <c r="K6" s="159">
        <f t="shared" si="0"/>
        <v>212</v>
      </c>
      <c r="L6" s="159">
        <f t="shared" si="0"/>
        <v>274</v>
      </c>
      <c r="M6" s="159">
        <f>M5-M4</f>
        <v>282</v>
      </c>
    </row>
    <row r="7" spans="3:14" ht="25.5" customHeight="1" thickTop="1" x14ac:dyDescent="0.25"/>
    <row r="8" spans="3:14" ht="13.8" thickBot="1" x14ac:dyDescent="0.3">
      <c r="D8" s="611" t="s">
        <v>142</v>
      </c>
      <c r="E8" s="612"/>
      <c r="F8" s="612"/>
      <c r="G8" s="612"/>
      <c r="H8" s="612"/>
      <c r="I8" s="612"/>
      <c r="J8" s="612"/>
      <c r="K8" s="612"/>
      <c r="L8" s="612"/>
      <c r="M8" s="612"/>
      <c r="N8" s="612"/>
    </row>
    <row r="9" spans="3:14" ht="24" thickTop="1" thickBot="1" x14ac:dyDescent="0.3">
      <c r="D9" s="208" t="s">
        <v>143</v>
      </c>
      <c r="E9" s="208" t="s">
        <v>153</v>
      </c>
      <c r="F9" s="208" t="s">
        <v>144</v>
      </c>
      <c r="G9" s="208" t="s">
        <v>145</v>
      </c>
      <c r="H9" s="208" t="s">
        <v>146</v>
      </c>
      <c r="I9" s="208" t="s">
        <v>147</v>
      </c>
      <c r="J9" s="208" t="s">
        <v>148</v>
      </c>
      <c r="K9" s="157" t="s">
        <v>149</v>
      </c>
      <c r="L9" s="208" t="s">
        <v>150</v>
      </c>
      <c r="M9" s="157" t="s">
        <v>151</v>
      </c>
      <c r="N9" s="157" t="s">
        <v>197</v>
      </c>
    </row>
    <row r="10" spans="3:14" ht="15" customHeight="1" thickTop="1" thickBot="1" x14ac:dyDescent="0.3">
      <c r="C10" s="613" t="s">
        <v>199</v>
      </c>
      <c r="D10" s="158" t="str">
        <f ca="1">IF($D10="","","Previsto")</f>
        <v>Previsto</v>
      </c>
      <c r="E10" s="158">
        <v>44099</v>
      </c>
      <c r="F10" s="158">
        <f>E10</f>
        <v>44099</v>
      </c>
      <c r="G10" s="158">
        <f>F10+5</f>
        <v>44104</v>
      </c>
      <c r="H10" s="158">
        <f>G10+8</f>
        <v>44112</v>
      </c>
      <c r="I10" s="158">
        <f>H10+8</f>
        <v>44120</v>
      </c>
      <c r="J10" s="158">
        <f>I10+11</f>
        <v>44131</v>
      </c>
      <c r="K10" s="158">
        <f>J10+5</f>
        <v>44136</v>
      </c>
      <c r="L10" s="158">
        <f>K10+13</f>
        <v>44149</v>
      </c>
      <c r="M10" s="158">
        <f>L10+30</f>
        <v>44179</v>
      </c>
      <c r="N10" s="159">
        <f>M10-E10</f>
        <v>80</v>
      </c>
    </row>
    <row r="11" spans="3:14" ht="15" customHeight="1" thickTop="1" thickBot="1" x14ac:dyDescent="0.3">
      <c r="C11" s="614"/>
      <c r="D11" s="158" t="s">
        <v>152</v>
      </c>
      <c r="E11" s="158">
        <f>E10</f>
        <v>44099</v>
      </c>
      <c r="F11" s="158">
        <v>44123</v>
      </c>
      <c r="G11" s="158">
        <v>44123</v>
      </c>
      <c r="H11" s="158">
        <v>44147</v>
      </c>
      <c r="I11" s="158">
        <v>44158</v>
      </c>
      <c r="J11" s="158">
        <v>44336</v>
      </c>
      <c r="K11" s="158">
        <v>44343</v>
      </c>
      <c r="L11" s="158">
        <v>44418</v>
      </c>
      <c r="M11" s="158">
        <f>L11+20</f>
        <v>44438</v>
      </c>
      <c r="N11" s="159">
        <f>M11-E11</f>
        <v>339</v>
      </c>
    </row>
    <row r="12" spans="3:14" ht="15" customHeight="1" thickTop="1" thickBot="1" x14ac:dyDescent="0.3">
      <c r="C12" s="615"/>
      <c r="D12" s="158" t="str">
        <f ca="1">IF($D10="","","Desvio")</f>
        <v>Desvio</v>
      </c>
      <c r="E12" s="159">
        <f>E11-E10</f>
        <v>0</v>
      </c>
      <c r="F12" s="159">
        <f t="shared" ref="F12:K12" si="1">F11-F10</f>
        <v>24</v>
      </c>
      <c r="G12" s="159">
        <f t="shared" si="1"/>
        <v>19</v>
      </c>
      <c r="H12" s="159">
        <f t="shared" si="1"/>
        <v>35</v>
      </c>
      <c r="I12" s="159">
        <f t="shared" si="1"/>
        <v>38</v>
      </c>
      <c r="J12" s="159">
        <f t="shared" si="1"/>
        <v>205</v>
      </c>
      <c r="K12" s="159">
        <f t="shared" si="1"/>
        <v>207</v>
      </c>
      <c r="L12" s="159">
        <f>L11-L10</f>
        <v>269</v>
      </c>
      <c r="M12" s="159">
        <f>M11-M10</f>
        <v>259</v>
      </c>
    </row>
    <row r="13" spans="3:14" ht="13.8" thickTop="1" x14ac:dyDescent="0.25"/>
  </sheetData>
  <mergeCells count="4">
    <mergeCell ref="D2:N2"/>
    <mergeCell ref="C4:C6"/>
    <mergeCell ref="D8:N8"/>
    <mergeCell ref="C10:C12"/>
  </mergeCells>
  <conditionalFormatting sqref="F5:M5">
    <cfRule type="expression" dxfId="3" priority="4">
      <formula>OR(INDEX(INDIRECT("GERAL["&amp;F$1&amp;" Realizado]"),MATCH($D4,INDIRECT("GERAL[Ordem compra]"),0),)=0,INDEX(INDIRECT("GERAL["&amp;F$1&amp;" Realizado]"),MATCH($D4,INDIRECT("GERAL[Ordem compra]"),0),)="")</formula>
    </cfRule>
  </conditionalFormatting>
  <conditionalFormatting sqref="E5">
    <cfRule type="expression" dxfId="2" priority="3">
      <formula>OR(INDEX(INDIRECT("GERAL["&amp;E$1&amp;" Realizado]"),MATCH($D4,INDIRECT("GERAL[Ordem compra]"),0),)=0,INDEX(INDIRECT("GERAL["&amp;E$1&amp;" Realizado]"),MATCH($D4,INDIRECT("GERAL[Ordem compra]"),0),)="")</formula>
    </cfRule>
  </conditionalFormatting>
  <conditionalFormatting sqref="F11:M11">
    <cfRule type="expression" dxfId="1" priority="2">
      <formula>OR(INDEX(INDIRECT("GERAL["&amp;F$1&amp;" Realizado]"),MATCH($D10,INDIRECT("GERAL[Ordem compra]"),0),)=0,INDEX(INDIRECT("GERAL["&amp;F$1&amp;" Realizado]"),MATCH($D10,INDIRECT("GERAL[Ordem compra]"),0),)="")</formula>
    </cfRule>
  </conditionalFormatting>
  <conditionalFormatting sqref="E11">
    <cfRule type="expression" dxfId="0" priority="1">
      <formula>OR(INDEX(INDIRECT("GERAL["&amp;E$1&amp;" Realizado]"),MATCH($D10,INDIRECT("GERAL[Ordem compra]"),0),)=0,INDEX(INDIRECT("GERAL["&amp;E$1&amp;" Realizado]"),MATCH($D10,INDIRECT("GERAL[Ordem compra]"),0),)="")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136859BB8F0D44FAB5205C920AAFF03" ma:contentTypeVersion="8" ma:contentTypeDescription="Crie um novo documento." ma:contentTypeScope="" ma:versionID="ef8034cb01f5e2ab51be30d119131a06">
  <xsd:schema xmlns:xsd="http://www.w3.org/2001/XMLSchema" xmlns:xs="http://www.w3.org/2001/XMLSchema" xmlns:p="http://schemas.microsoft.com/office/2006/metadata/properties" xmlns:ns1="http://schemas.microsoft.com/sharepoint/v3" xmlns:ns2="c53c4daa-0b30-43d0-815c-3731f1ee98cb" targetNamespace="http://schemas.microsoft.com/office/2006/metadata/properties" ma:root="true" ma:fieldsID="19de6f326747424519d4d56e2c277038" ns1:_="" ns2:_="">
    <xsd:import namespace="http://schemas.microsoft.com/sharepoint/v3"/>
    <xsd:import namespace="c53c4daa-0b30-43d0-815c-3731f1ee98c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0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1" nillable="true" ma:displayName="Ação de Interface do Usuário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53c4daa-0b30-43d0-815c-3731f1ee98c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23A454EF-112D-4C78-8D1F-39BB61F8FA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E9AD69-E21B-4544-A1D9-198A6D679F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53c4daa-0b30-43d0-815c-3731f1ee98c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6E704-7ABB-4C55-B6D8-61ACA425C313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4</vt:i4>
      </vt:variant>
    </vt:vector>
  </HeadingPairs>
  <TitlesOfParts>
    <vt:vector size="11" baseType="lpstr">
      <vt:lpstr>RH CT 3312</vt:lpstr>
      <vt:lpstr>RH TAC_CT3181</vt:lpstr>
      <vt:lpstr>Exportação_CT3181</vt:lpstr>
      <vt:lpstr>2º Take Off</vt:lpstr>
      <vt:lpstr>Cesta</vt:lpstr>
      <vt:lpstr>Check List</vt:lpstr>
      <vt:lpstr>Timeline</vt:lpstr>
      <vt:lpstr>'RH CT 3312'!Area_de_impressao</vt:lpstr>
      <vt:lpstr>'RH TAC_CT3181'!Area_de_impressao</vt:lpstr>
      <vt:lpstr>'RH CT 3312'!Titulos_de_impressao</vt:lpstr>
      <vt:lpstr>'RH TAC_CT3181'!Titulos_de_impressao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Carla Ferreira Duarte</dc:creator>
  <cp:lastModifiedBy>Souza, Welerson (Vetta Tecnologia S.A.)</cp:lastModifiedBy>
  <cp:lastPrinted>2021-08-31T12:13:53Z</cp:lastPrinted>
  <dcterms:created xsi:type="dcterms:W3CDTF">2019-11-20T21:56:11Z</dcterms:created>
  <dcterms:modified xsi:type="dcterms:W3CDTF">2021-11-03T18:12:38Z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0x0101002136859BB8F0D44FAB5205C920AAFF03</vt:lpwstr>
  </property>
</Properties>
</file>