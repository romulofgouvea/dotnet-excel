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eetMetadata+xml" PartName="/xl/metadata.xml"/>
  <Override ContentType="application/vnd.openxmlformats-officedocument.drawing+xml" PartName="/xl/drawings/drawing1.xml"/>
  <Override ContentType="application/vnd.openxmlformats-officedocument.spreadsheetml.comments+xml" PartName="/xl/comments1.xml"/>
  <Override ContentType="application/vnd.openxmlformats-officedocument.drawing+xml" PartName="/xl/drawings/drawing2.xml"/>
  <Override ContentType="application/vnd.openxmlformats-officedocument.spreadsheetml.comments+xml" PartName="/xl/comments2.xml"/>
  <Override ContentType="application/vnd.openxmlformats-officedocument.spreadsheetml.sharedStrings+xml" PartName="/xl/sharedStrings.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vbaProject" PartName="/xl/vbaProject.bin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628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vetta.sharepoint.com/sites/MRN-MAS/Documentos Compartilhados/Requisitos/Modelo Relatório de Homologação MRN/"/>
    </mc:Choice>
  </mc:AlternateContent>
  <xr:revisionPtr revIDLastSave="93" documentId="13_ncr:1_{A162B6CF-2BDC-4933-A420-CB011857FAD4}" xr6:coauthVersionLast="47" xr6:coauthVersionMax="47" xr10:uidLastSave="{D8304812-8C60-4E78-B3C7-526632811693}"/>
  <bookViews>
    <workbookView xWindow="28680" yWindow="-120" windowWidth="29040" windowHeight="16440" firstSheet="1" activeTab="1" xr2:uid="{00000000-000D-0000-FFFF-FFFF00000000}"/>
  </bookViews>
  <sheets>
    <sheet name="RH CT 3312" sheetId="1" state="hidden" r:id="rId1"/>
    <sheet name="Relatório de Homologação" sheetId="4" r:id="rId2"/>
  </sheets>
  <externalReferences>
    <externalReference r:id="rId3"/>
    <externalReference r:id="rId4"/>
  </externalReferences>
  <definedNames>
    <definedName name="_fck20">'[1]fck20MPa_BDI39,25%'!$L$47</definedName>
    <definedName name="_fck30">'[1]fck30MPa_BDI39,25%'!$L$47</definedName>
    <definedName name="ACRESCIMO_HN">#REF!</definedName>
    <definedName name="alcada">#REF!</definedName>
    <definedName name="Analista">#REF!</definedName>
    <definedName name="Cabecalho">"Grupo 1"</definedName>
    <definedName name="caracProcessoCompra">[file:///\\cvrdriosa00\DADOS\Downloads\RH%20PADRAO%20-%20LCMFURT%20-%20903980015%20-%20LCMFURT%20-%2023082011-1617(1).xls]Resumo!#REF!</definedName>
    <definedName name="ENCARGOS">#REF!</definedName>
    <definedName name="justificativaProcessoCompra">[file:///\\cvrdriosa00\DADOS\Downloads\RH%20PADRAO%20-%20LCMFURT%20-%20903980015%20-%20LCMFURT%20-%2023082011-1617(1).xls]Resumo!#REF!</definedName>
    <definedName name="QTDE_HE">#REF!</definedName>
    <definedName name="_xlnm._FilterDatabase" localSheetId="0" hidden="1">'RH CT 3312'!#REF!</definedName>
    <definedName name="alcada" localSheetId="0">#REF!</definedName>
    <definedName name="Analista" localSheetId="0">#REF!</definedName>
    <definedName name="_xlnm.Print_Area" localSheetId="0">'RH CT 3312'!$A$1:$S$67</definedName>
    <definedName name="caracProcessoCompra" localSheetId="0">[file:///\\cvrdriosa00\DADOS\Downloads\RH%20PADRAO%20-%20LCMFURT%20-%20903980015%20-%20LCMFURT%20-%2023082011-1617(1).xls]Resumo!#REF!</definedName>
    <definedName name="justificativaProcessoCompra" localSheetId="0">[file:///\\cvrdriosa00\DADOS\Downloads\RH%20PADRAO%20-%20LCMFURT%20-%20903980015%20-%20LCMFURT%20-%2023082011-1617(1).xls]Resumo!#REF!</definedName>
    <definedName name="_xlnm.Print_Titles" localSheetId="0">'RH CT 3312'!$1:$3</definedName>
    <definedName name="_xlnm._FilterDatabase" localSheetId="1" hidden="1">'Relatório de Homologação'!#REF!</definedName>
    <definedName name="alcada" localSheetId="1">#REF!</definedName>
    <definedName name="Analista" localSheetId="1">#REF!</definedName>
    <definedName name="_xlnm.Print_Area" localSheetId="1">'Relatório de Homologação'!$A$1:$K$39</definedName>
    <definedName name="caracProcessoCompra" localSheetId="1">[file:///\\cvrdriosa00\DADOS\Downloads\RH%20PADRAO%20-%20LCMFURT%20-%20903980015%20-%20LCMFURT%20-%2023082011-1617(1).xls]Resumo!#REF!</definedName>
    <definedName name="justificativaProcessoCompra" localSheetId="1">[file:///\\cvrdriosa00\DADOS\Downloads\RH%20PADRAO%20-%20LCMFURT%20-%20903980015%20-%20LCMFURT%20-%2023082011-1617(1).xls]Resumo!#REF!</definedName>
    <definedName name="_xlnm.Print_Titles" localSheetId="1">'Relatório de Homologação'!$1:$3</definedName>
  </definedNames>
  <calcPr calcId="191028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felipe.pecanha@tecnored.com.br</author>
  </authors>
  <commentList>
    <comment ref="Q30" authorId="0" shapeId="0" xr:uid="{00000000-0006-0000-0000-000001000000}">
      <text>
        <r>
          <rPr>
            <sz val="9"/>
            <color indexed="81"/>
            <rFont val="Tahoma"/>
            <family val="2"/>
          </rPr>
          <t>REALIZAR SOMA DE ACORDO COM CARACTERISTICAS DO PROCESSO= BID CYCLE + APROVAÇÃO DA OC (B22).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Souza, Welerson (Vetta Tecnologia S.A.)</author>
  </authors>
  <commentList>
    <comment ref="E3" authorId="0" shapeId="0" xr:uid="{8FE6B3F8-E4ED-466B-9592-2AAA630B541D}">
      <text>
        <r>
          <rPr>
            <sz val="9"/>
            <color indexed="81"/>
            <rFont val="Segoe UI"/>
            <family val="2"/>
          </rPr>
          <t>Não teremos o campo com checkbox</t>
        </r>
      </text>
    </comment>
    <comment ref="I3" authorId="0" shapeId="0" xr:uid="{B09DB6B3-88DB-42EC-8A11-198E76032B12}">
      <text>
        <r>
          <rPr>
            <sz val="9"/>
            <color indexed="81"/>
            <rFont val="Segoe UI"/>
            <family val="2"/>
          </rPr>
          <t>As vezes a demanda não tem área, por isso é melhor colocar Diretoria, Área e Departamento.</t>
        </r>
      </text>
    </comment>
    <comment ref="J5" authorId="0" shapeId="0" xr:uid="{781AAC65-FB9F-4767-BE6A-54AB791EE69C}">
      <text>
        <r>
          <rPr>
            <sz val="9"/>
            <color indexed="81"/>
            <rFont val="Segoe UI"/>
            <family val="2"/>
          </rPr>
          <t>Não temos a conta contábil na demanda, apenas o CC, OI, OM.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<sst xmlns="http://schemas.openxmlformats.org/spreadsheetml/2006/main" count="162" uniqueCount="162">
  <si>
    <t>RELATÓRIO DE HOMOLOGAÇÃO - CONTRATAÇÃO DE SERVIÇOS</t>
  </si>
  <si>
    <t>GA - GERENCIA DE AQUISIÇÃO E LOGISTICA</t>
  </si>
  <si>
    <t xml:space="preserve">OC NR.: </t>
  </si>
  <si>
    <t>13246.17</t>
  </si>
  <si>
    <t>Natureza de Contratação:</t>
  </si>
  <si>
    <t>Caracteristica da Ordem de Compra</t>
  </si>
  <si>
    <t>Analista Suprimentos:</t>
  </si>
  <si>
    <t>Solicitante:</t>
  </si>
  <si>
    <t>Área Requisitante:</t>
  </si>
  <si>
    <t>Orçamento (VLR - BRL):</t>
  </si>
  <si>
    <t>CT Nº.:</t>
  </si>
  <si>
    <t>123</t>
  </si>
  <si>
    <t>Serviço</t>
  </si>
  <si>
    <t>Concorrencial / Emergencial</t>
  </si>
  <si>
    <t>Regina Abras</t>
  </si>
  <si>
    <t>Yanto Araújo</t>
  </si>
  <si>
    <t>DO - GD - GDL</t>
  </si>
  <si>
    <t>OBJETO:</t>
  </si>
  <si>
    <t>Serviços de Construções Civis, Manutenções Civis e Manutenções Elétricas Prediais nas instalações de propriedade da Mineração Rio do Norte S.A – MRN e Vila Residencial, em Porto Trombetas, município de Oriximiná – PA</t>
  </si>
  <si>
    <t>Natureza Contábil</t>
  </si>
  <si>
    <t>57450011 / 29804</t>
  </si>
  <si>
    <t>JUSTIFICATIVA:</t>
  </si>
  <si>
    <t>Manter a integridade física das estruturas prediais, áreas urbanas e qualidade de vida de todos os alojados e residentes da vila residencial em PTR.</t>
  </si>
  <si>
    <t>Previsto Orçamento</t>
  </si>
  <si>
    <t>Sim</t>
  </si>
  <si>
    <t>CONDIÇÕES COMERCIAIS DAS PROPOSTAS</t>
  </si>
  <si>
    <t>CLASSIFICAÇÃO</t>
  </si>
  <si>
    <t>1º</t>
  </si>
  <si>
    <t>2º</t>
  </si>
  <si>
    <t>3º</t>
  </si>
  <si>
    <t>4º</t>
  </si>
  <si>
    <t>5º</t>
  </si>
  <si>
    <t>6º</t>
  </si>
  <si>
    <t>7º</t>
  </si>
  <si>
    <t>PROPONENTES</t>
  </si>
  <si>
    <t>MANSERV</t>
  </si>
  <si>
    <t>PARENTE ANDRADE(*)</t>
  </si>
  <si>
    <t>RIP</t>
  </si>
  <si>
    <t>OMEGA</t>
  </si>
  <si>
    <t>NIPLAN (*)</t>
  </si>
  <si>
    <t>CONSTRUTORA SANTANNA</t>
  </si>
  <si>
    <t>GONGORA</t>
  </si>
  <si>
    <t>PROPOSTA INICIAL (R$)</t>
  </si>
  <si>
    <t>PROPOSTA EQUALIZADA (R$)</t>
  </si>
  <si>
    <t>-</t>
  </si>
  <si>
    <t>PROPOSTA FINAL (R$)</t>
  </si>
  <si>
    <t>VARIAÇÃO DA PROPOSTA (R$)</t>
  </si>
  <si>
    <t>VARIAÇÃO DA PROPOSTA ( % )</t>
  </si>
  <si>
    <t>DIFERENÇA SOBRE O ORÇADO ( % )</t>
  </si>
  <si>
    <t>DIFERENÇA SOBRE MELHOR PROPOSTA EQUALIZADA (%)</t>
  </si>
  <si>
    <t>CONDIÇÃO DE PAGAMENTO</t>
  </si>
  <si>
    <t>30 DFS</t>
  </si>
  <si>
    <t>PARECER TÉCNICO</t>
  </si>
  <si>
    <t>APROVADO</t>
  </si>
  <si>
    <t>NÃO APROVADO</t>
  </si>
  <si>
    <t>DECLINIOU</t>
  </si>
  <si>
    <t>AVALIAÇÃO FINANCEIRA</t>
  </si>
  <si>
    <t>APTA</t>
  </si>
  <si>
    <t>DUE DILIGENCE (DDI)</t>
  </si>
  <si>
    <t>FAVORÁVEL</t>
  </si>
  <si>
    <t>INFORMAÇÕES ORÇAMENTO | SAVING ORÇAMENTO | SAVING NEGOCIAÇÃO</t>
  </si>
  <si>
    <t>VALOR A CONTRATAR</t>
  </si>
  <si>
    <t>ORÇAMENTO (R$)</t>
  </si>
  <si>
    <t>SAVING ORÇAMENTO (R$)</t>
  </si>
  <si>
    <t>SAVING ORÇAMENTO (%)</t>
  </si>
  <si>
    <t>MENOR PC. EQUALIZADA</t>
  </si>
  <si>
    <t>SAVING NEGOCIAÇÃO (R$)</t>
  </si>
  <si>
    <t>SAVING NEGOCIAÇÃO (%)</t>
  </si>
  <si>
    <t>(A)</t>
  </si>
  <si>
    <t>(B)</t>
  </si>
  <si>
    <t>(C = B - A)</t>
  </si>
  <si>
    <t>(D = A / B - 1)</t>
  </si>
  <si>
    <t>(E)</t>
  </si>
  <si>
    <t>(F = E - A)</t>
  </si>
  <si>
    <t>(D = A / E- 1)</t>
  </si>
  <si>
    <t>HISTÓRICO</t>
  </si>
  <si>
    <t>EMPRESA PREMIADA</t>
  </si>
  <si>
    <t>VALOR TOTAL:</t>
  </si>
  <si>
    <t>PRAZO DE EXECUÇÃO:</t>
  </si>
  <si>
    <t>GERENTE COMPRAS</t>
  </si>
  <si>
    <t>Ricardo Pedra</t>
  </si>
  <si>
    <t>GERENTE DE SUPRIMENTOS</t>
  </si>
  <si>
    <t>Henrique Oliveira</t>
  </si>
  <si>
    <t>DIRETOR ESPECÍFICO</t>
  </si>
  <si>
    <t>DIRETORIA COMERCIAL</t>
  </si>
  <si>
    <t>Ricardo Alves</t>
  </si>
  <si>
    <t>DIRETOR PRESIDENTE</t>
  </si>
  <si>
    <t>Guido Germani</t>
  </si>
  <si>
    <t>ASSINATURA</t>
  </si>
  <si>
    <t>RELATÓRIO DE HOMOLOGAÇÃO - SERVIÇOS E MATERIAIS - AQUISIÇÃO</t>
  </si>
  <si>
    <t>13XXX.XX</t>
  </si>
  <si>
    <t>Caract. da OC:</t>
  </si>
  <si>
    <t>Contrato Jurídico:</t>
  </si>
  <si>
    <r xmlns="http://schemas.openxmlformats.org/spreadsheetml/2006/main">
      <t>Orçamento (VLR - BRL)</t>
    </r>
    <r xmlns="http://schemas.openxmlformats.org/spreadsheetml/2006/main">
      <rPr>
        <b/>
        <sz val="14"/>
        <rFont val="Arial"/>
        <family val="2"/>
      </rPr>
      <t>¹</t>
    </r>
    <r xmlns="http://schemas.openxmlformats.org/spreadsheetml/2006/main">
      <rPr>
        <b/>
        <sz val="11"/>
        <rFont val="Arial"/>
        <family val="2"/>
      </rPr>
      <t>:</t>
    </r>
  </si>
  <si>
    <t>PCS/CT Nº.:</t>
  </si>
  <si>
    <t>Urgência na OC:</t>
  </si>
  <si>
    <t>Não</t>
  </si>
  <si>
    <t>Yanto Luís de Farias Araújo</t>
  </si>
  <si>
    <t>GT</t>
  </si>
  <si>
    <t>CONDIÇÕES COMERCIAIS DA PROPOSTA</t>
  </si>
  <si>
    <t>Proposta Técnica Desclassificada</t>
  </si>
  <si>
    <t>Declinou</t>
  </si>
  <si>
    <t>IDF (Indice de Desempenho do Fornecedor)</t>
  </si>
  <si>
    <r xmlns="http://schemas.openxmlformats.org/spreadsheetml/2006/main">
      <rPr>
        <b/>
        <u/>
        <sz val="9"/>
        <rFont val="Arial"/>
        <family val="2"/>
      </rPr>
      <t>NOTA:</t>
    </r>
    <r xmlns="http://schemas.openxmlformats.org/spreadsheetml/2006/main">
      <rPr>
        <b/>
        <sz val="13"/>
        <rFont val="Arial"/>
        <family val="2"/>
      </rPr>
      <t xml:space="preserve"> ¹</t>
    </r>
    <r xmlns="http://schemas.openxmlformats.org/spreadsheetml/2006/main">
      <rPr>
        <sz val="9"/>
        <rFont val="Arial"/>
        <family val="2"/>
      </rPr>
      <t xml:space="preserve"> Os preços totais das propostas equalizada e final no quadro acima inluem o adicional de 1% sobre o valor total, referente a despesas reembolsáveis, em concordância com a área requisitante.  </t>
    </r>
  </si>
  <si>
    <t>HISTÓRICO DO PROCESSO:</t>
  </si>
  <si>
    <t>DATAS</t>
  </si>
  <si>
    <t>DURAÇÃO DA ETAPA</t>
  </si>
  <si>
    <t>ACUMULADO</t>
  </si>
  <si>
    <t>CRIAÇÃO SC</t>
  </si>
  <si>
    <t>ANÁLISE TÉCNICA</t>
  </si>
  <si>
    <t>APROVAÇÃO OC</t>
  </si>
  <si>
    <t>ANÁLISE COMERCIAL</t>
  </si>
  <si>
    <t>ENVIO MERCADO</t>
  </si>
  <si>
    <t>APROVAÇÃO MINUTA</t>
  </si>
  <si>
    <t xml:space="preserve"> REC. PROPOSTAS</t>
  </si>
  <si>
    <t>RECOMENDAÇÃO HOMOLOGAÇÃO</t>
  </si>
  <si>
    <t>VALOR A CONTRATAR (R$)</t>
  </si>
  <si>
    <t>ORÇAMENTO</t>
  </si>
  <si>
    <t>SAVING ORÇAMENTO</t>
  </si>
  <si>
    <t>Prazo Processo - Bid Cycle Padrão 126 dias</t>
  </si>
  <si>
    <t>MENOR PROP. EQUALIZADA</t>
  </si>
  <si>
    <t xml:space="preserve">SAVING NEGOCIAÇÃO </t>
  </si>
  <si>
    <r xmlns="http://schemas.openxmlformats.org/spreadsheetml/2006/main">
      <rPr>
        <b/>
        <sz val="10.5"/>
        <rFont val="Arial"/>
        <family val="2"/>
      </rPr>
      <t>OBSERVAÇÃO:</t>
    </r>
    <r xmlns="http://schemas.openxmlformats.org/spreadsheetml/2006/main">
      <rPr>
        <sz val="10.5"/>
        <rFont val="Arial"/>
        <family val="2"/>
      </rPr>
      <t xml:space="preserve"> </t>
    </r>
  </si>
  <si>
    <t>CHECK LIST:</t>
  </si>
  <si>
    <t xml:space="preserve">(   )</t>
  </si>
  <si>
    <t>MENOS DE 03 PROPOSTAS VÁLIDAS</t>
  </si>
  <si>
    <t>MOTIVO:</t>
  </si>
  <si>
    <t xml:space="preserve">(    )</t>
  </si>
  <si>
    <t>HOUVE DESCLASSIFICAÇÃO TÉCNICA</t>
  </si>
  <si>
    <t>GERÊNCIA/DIRETORIA:</t>
  </si>
  <si>
    <t>NA</t>
  </si>
  <si>
    <t>APROVADOR:</t>
  </si>
  <si>
    <t>:APROVADOR</t>
  </si>
  <si>
    <t>IMPORTAÇÃO</t>
  </si>
  <si>
    <t>MOEDA NEGOCIADA</t>
  </si>
  <si>
    <t xml:space="preserve">TAXA DE CÂMBIO </t>
  </si>
  <si>
    <t>VALOR FINAL</t>
  </si>
  <si>
    <t xml:space="preserve">SOLICITADO AUDITORIA DE </t>
  </si>
  <si>
    <t>CONTRATAÇÃO ACIMA DO</t>
  </si>
  <si>
    <t>SEGURANÇA?</t>
  </si>
  <si>
    <t>ORÇAMENTO ORIGINAL</t>
  </si>
  <si>
    <t xml:space="preserve">SESMT  MRN  </t>
  </si>
  <si>
    <t>A CONTRATADA irá trabalhar com os próprios Técnicos de Segurança</t>
  </si>
  <si>
    <t>( X )</t>
  </si>
  <si>
    <t xml:space="preserve">GERÊNCIA FINANCEIRA CIENTE </t>
  </si>
  <si>
    <t xml:space="preserve">Em 14/06/2021 a GF enviou-nos o parecer favorável em relação à análse financeira da MANSERV FACILITIES LTDA  CNPJ 20.707.884/0001-26</t>
  </si>
  <si>
    <t xml:space="preserve">(  X )</t>
  </si>
  <si>
    <t>SESMT CONTRATADA</t>
  </si>
  <si>
    <t>DO CONTRATO?</t>
  </si>
  <si>
    <r xmlns="http://schemas.openxmlformats.org/spreadsheetml/2006/main">
      <rPr>
        <b/>
        <u/>
        <sz val="11"/>
        <rFont val="Arial"/>
        <family val="2"/>
      </rPr>
      <t>Aprovação via Totvs:</t>
    </r>
    <r xmlns="http://schemas.openxmlformats.org/spreadsheetml/2006/main">
      <rPr>
        <sz val="11"/>
        <rFont val="Arial"/>
        <family val="2"/>
      </rPr>
      <t xml:space="preserve">
A OC nº </t>
    </r>
    <r xmlns="http://schemas.openxmlformats.org/spreadsheetml/2006/main">
      <rPr>
        <b/>
        <sz val="11"/>
        <color rgb="FFFF0000"/>
        <rFont val="Arial"/>
        <family val="2"/>
      </rPr>
      <t>13.XXX.XX</t>
    </r>
    <r xmlns="http://schemas.openxmlformats.org/spreadsheetml/2006/main">
      <rPr>
        <sz val="11"/>
        <rFont val="Arial"/>
        <family val="2"/>
      </rPr>
      <t xml:space="preserve"> foi aprovada para a nova contratação do escopo supracitado no inicio desse relatório de Homologação.
</t>
    </r>
    <r xmlns="http://schemas.openxmlformats.org/spreadsheetml/2006/main">
      <rPr>
        <b/>
        <u/>
        <sz val="11"/>
        <rFont val="Arial"/>
        <family val="2"/>
      </rPr>
      <t>Análise Técnica:</t>
    </r>
    <r xmlns="http://schemas.openxmlformats.org/spreadsheetml/2006/main">
      <rPr>
        <sz val="11"/>
        <rFont val="Arial"/>
        <family val="2"/>
      </rPr>
      <t xml:space="preserve">
Foram aprovadas as Propostas Técnicas das empresas RIP, PARENTE ANDRADE, OMEGA, NIPLAN, SANTANNA e MANSERV, sendo essa última durante a etapa comercial (*).
A Proposta Técnica da GONGORA &amp; ARAUJO, foi desqualificada após comentários não atendidos na revisão que apresentaram.
</t>
    </r>
    <r xmlns="http://schemas.openxmlformats.org/spreadsheetml/2006/main">
      <rPr>
        <b/>
        <u/>
        <sz val="11"/>
        <rFont val="Arial"/>
        <family val="2"/>
      </rPr>
      <t>Negociação Comercial:</t>
    </r>
    <r xmlns="http://schemas.openxmlformats.org/spreadsheetml/2006/main">
      <rPr>
        <sz val="11"/>
        <rFont val="Arial"/>
        <family val="2"/>
      </rPr>
      <t xml:space="preserve">
Na primeira análise das Propostas Comerciais, solicitamos às 5 proponentes iniciais que atendessem os pontos que poderiam influenciar nos preços unitários apresentados a saber:
1) Retirar de seu escopo quaisquer tipos de materiais, exceto os itens consumíveis (fita isolante, estopa, cola, etc.);
2) Inclusão dos preços unitários de todos os itens, mesmo aqueles que tinham quantidade igual a zero;
3) Confirmar que os preços unitários apresentados incluiam TODOS os custos necessários à operacionalidade do contrato;
Feitas essas considerações, obtivemos pequenas movimentações nos valores apresentados e nossa melhor proposta ainda estava 33,91%  acima do orçamento previsto (veja linha "PROPOSTA EQUALIZADA" desse relatório).
Quando da solicitação dessa primeira proposta revisada a OMEGA, já não mais retornou as nossas solicitações e saiu do processo por declinio reverso.
Nessa ocasião, já estava em análise, conforme solicitado pelo GAS como a anuência do Diretor Comercial MRN, a análise da Proposta Técnica da MANSERV e assim que a mesma foi aprovada, com o  objetivo de nos aproximarmos do orçamento previsto, solicitou-se uma estimativa comercial pelo Portal PARADIGMA, abrindo uma rodada específica para essa proponente que já havia declinado no início do processo.
Para nossa surpresa a 1ª Proposta da MANSERV já estava abaixo de todas as demais proponentes e 16,43% acima do orçamento previsto, sendo nosso melhor resultado comercial até então, conforme mostram os valores no item "</t>
    </r>
    <r xmlns="http://schemas.openxmlformats.org/spreadsheetml/2006/main">
      <rPr>
        <b/>
        <i/>
        <sz val="11"/>
        <rFont val="Arial"/>
        <family val="2"/>
      </rPr>
      <t>CONDIÇÕES COMERCIAIS DA PROPOSTA</t>
    </r>
    <r xmlns="http://schemas.openxmlformats.org/spreadsheetml/2006/main">
      <rPr>
        <sz val="11"/>
        <rFont val="Arial"/>
        <family val="2"/>
      </rPr>
      <t xml:space="preserve">" desse relatório.
Seguimos então com rodadas individuais de negociações com as proponentes RIP, PARENTE ANDRADE, SANTANNA, NIPLAN, incluindo a partir dessa etapa, a proponente MANSERV.
Com a RIP foi realizada reunião presencial em PTR entre seu Gerente, o gestor MRN do contrato atual (CT 2993) e a GAS, na qual foram pontuados os itens de maior peso em sua Proposta, baseados na análise de sua composição de preços unitários, produtividades, histogramas de mão de obra e demais recursos considerados. Com as demais proponentes as reuniões foram virtuais, via TEAMS.
A
</t>
    </r>
  </si>
  <si>
    <t xml:space="preserve">Nas reuniões para essa nova rodada de negociações, para as 3 primeiras colocadas, reforçamos sobre os seguintes pontos:
1) Sugerimos avaliar o histograma de mão de obra, tendo como base, possível revisão de produtividade;
2) Foi informado conforme deliberação da área requisitante que os serviços precificados em "hh" necessariamente não seriam realizados por equipe específica e sim pela mesma equipe responsável pelos itens com preços unitários definidos;
3) Sugerimos rever número de profissionais da equipe de gestão, pois alguns estavam bem acima em relação à sugestão MRN para tal equipe;
4) Por tratar-se de um contrato espcificamente de mão-de-obra, sugerimos verificar salários, indices de BDI ( o da RIP estava acima do valor praticado no contrato vigente) e Encargos Sociais aplicados;
5) Sugerimos verificar preços unitários de horas extras, sobre a possibilidade de estarem sendo cobrados em duplicidade recursos tais como , EPI, transporte, plano de saúde, etc.
6) Foi evidenciado que a mobilização da empresa vencedora deveria ocorrer em 30 dias a partir da assinatura da carta de intenção;
Após todas as abordagens individuais realizadas, com as Propostas recebidas praticamente definindo um cenário que apontava a MANSERV como vencedora do processo, por tratar-se de uma empresa que tem respaldo pela força de seu nome no mercado, mas, como substituta de outra grande empresa que tem contratos significativos na MRN, convocamos a área requisitante e realizamos também com a participação de nosso GAS, uma reunião para a exposição pela MANSERV de sua estratégia  para assumir esse novo contrato, assim como a area requisitante  fez a exposição de suas expectativas quanto uma possível desmobilização da empresa que estaria saindo e a possível mobilização da nova empresa que estará entrando para o site. Foi dito à MANSERV que essa reunião realizou-se com as as empresas mais bem colocadas no ranking do processo.
Após essa reunão, solicitou-se à MANSERV sua melhor proposta comercial e também sua Proposta Técnica Consolidada após revisados alguns critérios em função dessa última reunião realizada com a área requisitante. 
A seguir temos o panorama desse processo, apresentando os parâmetros comerciais, das Propostas Comerciais que estiveram ativas até a obtenção da Proposta Comercial mais vantajosa para a MRN.
</t>
  </si>
  <si>
    <r xmlns="http://schemas.openxmlformats.org/spreadsheetml/2006/main">
      <rPr>
        <b/>
        <u/>
        <sz val="11"/>
        <rFont val="Arial"/>
        <family val="2"/>
      </rPr>
      <t xml:space="preserve">
Informações relevantes:</t>
    </r>
    <r xmlns="http://schemas.openxmlformats.org/spreadsheetml/2006/main">
      <rPr>
        <sz val="11"/>
        <rFont val="Arial"/>
        <family val="2"/>
      </rPr>
      <t xml:space="preserve">
Foram convidadas também as empresas </t>
    </r>
    <r xmlns="http://schemas.openxmlformats.org/spreadsheetml/2006/main">
      <rPr>
        <b/>
        <sz val="11"/>
        <rFont val="Arial"/>
        <family val="2"/>
      </rPr>
      <t>DAN HEBER</t>
    </r>
    <r xmlns="http://schemas.openxmlformats.org/spreadsheetml/2006/main">
      <rPr>
        <sz val="11"/>
        <rFont val="Arial"/>
        <family val="2"/>
      </rPr>
      <t xml:space="preserve">T, </t>
    </r>
    <r xmlns="http://schemas.openxmlformats.org/spreadsheetml/2006/main">
      <rPr>
        <b/>
        <sz val="11"/>
        <rFont val="Arial"/>
        <family val="2"/>
      </rPr>
      <t>REFRAMAX</t>
    </r>
    <r xmlns="http://schemas.openxmlformats.org/spreadsheetml/2006/main">
      <rPr>
        <sz val="11"/>
        <rFont val="Arial"/>
        <family val="2"/>
      </rPr>
      <t xml:space="preserve">, </t>
    </r>
    <r xmlns="http://schemas.openxmlformats.org/spreadsheetml/2006/main">
      <rPr>
        <b/>
        <sz val="11"/>
        <rFont val="Arial"/>
        <family val="2"/>
      </rPr>
      <t>MELLO AZEVEDO</t>
    </r>
    <r xmlns="http://schemas.openxmlformats.org/spreadsheetml/2006/main">
      <rPr>
        <sz val="11"/>
        <rFont val="Arial"/>
        <family val="2"/>
      </rPr>
      <t xml:space="preserve"> e </t>
    </r>
    <r xmlns="http://schemas.openxmlformats.org/spreadsheetml/2006/main">
      <rPr>
        <b/>
        <sz val="11"/>
        <rFont val="Arial"/>
        <family val="2"/>
      </rPr>
      <t>AC PARCERIA</t>
    </r>
    <r xmlns="http://schemas.openxmlformats.org/spreadsheetml/2006/main">
      <rPr>
        <sz val="11"/>
        <rFont val="Arial"/>
        <family val="2"/>
      </rPr>
      <t xml:space="preserve">, mas todas elas declinaram, não apresentando Proposta Técnica.
A </t>
    </r>
    <r xmlns="http://schemas.openxmlformats.org/spreadsheetml/2006/main">
      <rPr>
        <b/>
        <sz val="11"/>
        <rFont val="Arial"/>
        <family val="2"/>
      </rPr>
      <t>MANSERV</t>
    </r>
    <r xmlns="http://schemas.openxmlformats.org/spreadsheetml/2006/main">
      <rPr>
        <sz val="11"/>
        <rFont val="Arial"/>
        <family val="2"/>
      </rPr>
      <t xml:space="preserve"> inicialmente declinou do processo, mas, foi reinserida por solicitação do GAS e Diretor Comercial, contando também com o apoio da área requisitante na análise de sua Proposta Técnica, com o objetivo de atingirmos o orçamento previsto, o qual estava bem distante, quando do recebimento das Propostas iniciais. </t>
    </r>
  </si>
  <si>
    <t>MANSERV FACILITIES LTDA</t>
  </si>
  <si>
    <t>NO VALOR TOTAL DE:</t>
  </si>
  <si>
    <t>NO PRAZO DE EXECUÇÃO DE:</t>
  </si>
  <si>
    <t>MÊS(ES)</t>
  </si>
  <si>
    <t>GERENTE SUPRIMENTOS (Aprovador Alternativo)</t>
  </si>
  <si>
    <t>Henrique Barbosa</t>
  </si>
  <si>
    <t>DF</t>
  </si>
  <si>
    <t>DIRRETOR PRESIDENTE</t>
  </si>
  <si>
    <t>DP</t>
  </si>
  <si>
    <t>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</si>
</sst>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_(* #,##0.00_);_(* \(#,##0.00\);_(* &quot;-&quot;??_);_(@_)"/>
    <numFmt numFmtId="166" formatCode="0.0%"/>
    <numFmt numFmtId="167" formatCode="#,##0.00_ ;\-#,##0.00\ "/>
    <numFmt numFmtId="168" formatCode="##\ &quot;Meses&quot;"/>
  </numFmts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.5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.5"/>
      <name val="Arial"/>
      <family val="2"/>
    </font>
    <font>
      <b/>
      <sz val="11.5"/>
      <name val="Arial"/>
      <family val="2"/>
    </font>
    <font>
      <b/>
      <sz val="11"/>
      <color indexed="8"/>
      <name val="Arial"/>
      <family val="2"/>
    </font>
    <font>
      <b/>
      <sz val="10.5"/>
      <color indexed="8"/>
      <name val="Arial"/>
      <family val="2"/>
    </font>
    <font>
      <b/>
      <sz val="12.5"/>
      <name val="Arial"/>
      <family val="2"/>
    </font>
    <font>
      <sz val="11.5"/>
      <name val="Arial"/>
      <family val="2"/>
    </font>
    <font>
      <b/>
      <sz val="9"/>
      <name val="Arial"/>
      <family val="2"/>
    </font>
    <font>
      <b/>
      <sz val="11"/>
      <color rgb="FFFF0000"/>
      <name val="Arial"/>
      <family val="2"/>
    </font>
    <font>
      <sz val="10.5"/>
      <color rgb="FFFF0000"/>
      <name val="Arial"/>
      <family val="2"/>
    </font>
    <font>
      <sz val="10"/>
      <name val="Arial"/>
      <family val="2"/>
    </font>
    <font>
      <b/>
      <sz val="10"/>
      <name val="Arial"/>
      <family val="1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0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18">
    <xf numFmtId="0" fontId="0" fillId="0" borderId="0"/>
    <xf numFmtId="164" fontId="3" fillId="0" borderId="0"/>
    <xf numFmtId="44" fontId="3" fillId="0" borderId="0"/>
    <xf numFmtId="44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13" fillId="0" borderId="0"/>
    <xf numFmtId="0" fontId="1" fillId="0" borderId="0"/>
    <xf numFmtId="0" fontId="23" fillId="0" borderId="0"/>
    <xf numFmtId="0" fontId="23" fillId="0" borderId="0"/>
    <xf numFmtId="0" fontId="3" fillId="0" borderId="0"/>
    <xf numFmtId="9" fontId="3" fillId="0" borderId="0"/>
    <xf numFmtId="9" fontId="3" fillId="0" borderId="0"/>
    <xf numFmtId="165" fontId="3" fillId="0" borderId="0"/>
    <xf numFmtId="43" fontId="3" fillId="0" borderId="0"/>
    <xf numFmtId="43" fontId="3" fillId="0" borderId="0"/>
  </cellStyleXfs>
  <cellXfs count="413">
    <xf numFmtId="0" applyNumberFormat="1" fontId="0" applyFont="1" fillId="0" applyFill="1" borderId="0" applyBorder="1" xfId="0" applyProtection="1"/>
    <xf numFmtId="164" applyNumberFormat="1" fontId="3" applyFont="1" fillId="0" applyFill="1" borderId="0" applyBorder="1" xfId="1" applyProtection="1"/>
    <xf numFmtId="44" applyNumberFormat="1" fontId="3" applyFont="1" fillId="0" applyFill="1" borderId="0" applyBorder="1" xfId="2" applyProtection="1"/>
    <xf numFmtId="44" applyNumberFormat="1" fontId="3" applyFont="1" fillId="0" applyFill="1" borderId="0" applyBorder="1" xfId="3" applyProtection="1"/>
    <xf numFmtId="0" applyNumberFormat="1" fontId="3" applyFont="1" fillId="0" applyFill="1" borderId="0" applyBorder="1" xfId="4" applyProtection="1"/>
    <xf numFmtId="0" applyNumberFormat="1" fontId="2" applyFont="1" fillId="0" applyFill="1" borderId="0" applyBorder="1" xfId="5" applyProtection="1"/>
    <xf numFmtId="0" applyNumberFormat="1" fontId="3" applyFont="1" fillId="0" applyFill="1" borderId="0" applyBorder="1" xfId="6" applyProtection="1"/>
    <xf numFmtId="0" applyNumberFormat="1" fontId="3" applyFont="1" fillId="0" applyFill="1" borderId="0" applyBorder="1" xfId="7" applyProtection="1"/>
    <xf numFmtId="0" applyNumberFormat="1" fontId="13" applyFont="1" fillId="0" applyFill="1" borderId="0" applyBorder="1" xfId="8" applyProtection="1"/>
    <xf numFmtId="0" applyNumberFormat="1" fontId="1" applyFont="1" fillId="0" applyFill="1" borderId="0" applyBorder="1" xfId="9" applyProtection="1"/>
    <xf numFmtId="0" applyNumberFormat="1" fontId="23" applyFont="1" fillId="0" applyFill="1" borderId="0" applyBorder="1" xfId="10" applyProtection="1"/>
    <xf numFmtId="0" applyNumberFormat="1" fontId="23" applyFont="1" fillId="0" applyFill="1" borderId="0" applyBorder="1" xfId="11" applyProtection="1"/>
    <xf numFmtId="0" applyNumberFormat="1" fontId="3" applyFont="1" fillId="0" applyFill="1" borderId="0" applyBorder="1" xfId="12" applyProtection="1"/>
    <xf numFmtId="9" applyNumberFormat="1" fontId="3" applyFont="1" fillId="0" applyFill="1" borderId="0" applyBorder="1" xfId="13" applyProtection="1"/>
    <xf numFmtId="9" applyNumberFormat="1" fontId="3" applyFont="1" fillId="0" applyFill="1" borderId="0" applyBorder="1" xfId="14" applyProtection="1"/>
    <xf numFmtId="165" applyNumberFormat="1" fontId="3" applyFont="1" fillId="0" applyFill="1" borderId="0" applyBorder="1" xfId="15" applyProtection="1"/>
    <xf numFmtId="43" applyNumberFormat="1" fontId="3" applyFont="1" fillId="0" applyFill="1" borderId="0" applyBorder="1" xfId="16" applyProtection="1"/>
    <xf numFmtId="43" applyNumberFormat="1" fontId="3" applyFont="1" fillId="0" applyFill="1" borderId="0" applyBorder="1" xfId="17" applyProtection="1"/>
    <xf numFmtId="0" applyNumberFormat="1" fontId="0" applyFont="1" fillId="0" applyFill="1" borderId="0" applyBorder="1" xfId="0" applyAlignment="1">
      <alignment horizontal="center" vertical="center"/>
      <protection locked="0"/>
    </xf>
    <xf numFmtId="0" applyNumberFormat="1" fontId="0" applyFont="1" fillId="0" applyFill="1" borderId="0" applyBorder="1" xfId="0" applyAlignment="1">
      <alignment vertical="center"/>
      <protection locked="0"/>
    </xf>
    <xf numFmtId="0" applyNumberFormat="1" fontId="5" applyFont="1" fillId="0" applyFill="1" borderId="7" applyBorder="1" xfId="0" applyProtection="1" applyAlignment="1">
      <alignment vertical="center"/>
    </xf>
    <xf numFmtId="0" applyNumberFormat="1" fontId="0" applyFont="1" fillId="0" applyFill="1" borderId="7" applyBorder="1" xfId="0" applyAlignment="1">
      <alignment vertical="center"/>
      <protection locked="0"/>
    </xf>
    <xf numFmtId="0" applyNumberFormat="1" fontId="6" applyFont="1" fillId="0" applyFill="1" borderId="0" applyBorder="1" xfId="0" applyAlignment="1">
      <alignment horizontal="center" vertical="center"/>
      <protection locked="0"/>
    </xf>
    <xf numFmtId="0" applyNumberFormat="1" fontId="5" applyFont="1" fillId="0" applyFill="1" borderId="10" applyBorder="1" xfId="0" applyProtection="1" applyAlignment="1">
      <alignment vertical="center"/>
    </xf>
    <xf numFmtId="0" applyNumberFormat="1" fontId="7" applyFont="1" fillId="0" applyFill="1" borderId="10" applyBorder="1" xfId="0" applyAlignment="1">
      <alignment vertical="center"/>
      <protection locked="0"/>
    </xf>
    <xf numFmtId="0" applyNumberFormat="1" fontId="5" applyFont="1" fillId="2" applyFill="1" borderId="10" applyBorder="1" xfId="0" applyProtection="1" applyAlignment="1">
      <alignment horizontal="center" vertical="center"/>
    </xf>
    <xf numFmtId="165" applyNumberFormat="1" fontId="8" applyFont="1" fillId="0" applyFill="1" borderId="0" applyBorder="1" xfId="15" applyAlignment="1">
      <alignment horizontal="center" vertical="center"/>
      <protection locked="0"/>
    </xf>
    <xf numFmtId="0" applyNumberFormat="1" fontId="8" applyFont="1" fillId="0" applyFill="1" borderId="0" applyBorder="1" xfId="0" applyAlignment="1">
      <alignment horizontal="center" vertical="center"/>
      <protection locked="0"/>
    </xf>
    <xf numFmtId="1" applyNumberFormat="1" fontId="8" applyFont="1" fillId="0" applyFill="1" borderId="0" applyBorder="1" xfId="0" applyAlignment="1">
      <alignment horizontal="center" vertical="center"/>
      <protection locked="0"/>
    </xf>
    <xf numFmtId="9" applyNumberFormat="1" fontId="8" applyFont="1" fillId="0" applyFill="1" borderId="0" applyBorder="1" xfId="0" applyAlignment="1">
      <alignment horizontal="center" vertical="center"/>
      <protection locked="0"/>
    </xf>
    <xf numFmtId="0" applyNumberFormat="1" fontId="7" applyFont="1" fillId="0" applyFill="1" borderId="0" applyBorder="1" xfId="0" applyAlignment="1">
      <alignment vertical="center"/>
      <protection locked="0"/>
    </xf>
    <xf numFmtId="9" applyNumberFormat="1" fontId="6" applyFont="1" fillId="0" applyFill="1" borderId="0" applyBorder="1" xfId="0" applyAlignment="1">
      <alignment horizontal="center" vertical="center"/>
      <protection locked="0"/>
    </xf>
    <xf numFmtId="165" applyNumberFormat="1" fontId="6" applyFont="1" fillId="0" applyFill="1" borderId="0" applyBorder="1" xfId="15" applyAlignment="1">
      <alignment horizontal="center" vertical="center"/>
      <protection locked="0"/>
    </xf>
    <xf numFmtId="0" applyNumberFormat="1" fontId="0" applyFont="1" fillId="0" applyFill="1" borderId="19" applyBorder="1" xfId="0" applyProtection="1" applyAlignment="1">
      <alignment horizontal="center" vertical="center" wrapText="1"/>
    </xf>
    <xf numFmtId="0" applyNumberFormat="1" fontId="0" applyFont="1" fillId="0" applyFill="1" borderId="7" applyBorder="1" xfId="0" applyProtection="1" applyAlignment="1">
      <alignment horizontal="center" vertical="center" wrapText="1"/>
    </xf>
    <xf numFmtId="0" applyNumberFormat="1" fontId="0" applyFont="1" fillId="0" applyFill="1" borderId="8" applyBorder="1" xfId="0" applyProtection="1" applyAlignment="1">
      <alignment horizontal="center" vertical="center" wrapText="1"/>
    </xf>
    <xf numFmtId="0" applyNumberFormat="1" fontId="0" applyFont="1" fillId="0" applyFill="1" borderId="27" applyBorder="1" xfId="0" applyAlignment="1">
      <alignment vertical="center"/>
      <protection locked="0"/>
    </xf>
    <xf numFmtId="0" applyNumberFormat="1" fontId="0" applyFont="1" fillId="0" applyFill="1" borderId="28" applyBorder="1" xfId="0" applyAlignment="1">
      <alignment vertical="center"/>
      <protection locked="0"/>
    </xf>
    <xf numFmtId="4" applyNumberFormat="1" fontId="0" applyFont="1" fillId="2" applyFill="1" borderId="32" applyBorder="1" xfId="0" applyProtection="1" applyAlignment="1">
      <alignment horizontal="center" vertical="center"/>
    </xf>
    <xf numFmtId="0" applyNumberFormat="1" fontId="0" applyFont="1" fillId="0" applyFill="1" borderId="35" applyBorder="1" xfId="0" applyAlignment="1">
      <alignment vertical="center"/>
      <protection locked="0"/>
    </xf>
    <xf numFmtId="0" applyNumberFormat="1" fontId="0" applyFont="1" fillId="0" applyFill="1" borderId="36" applyBorder="1" xfId="0" applyAlignment="1">
      <alignment vertical="center"/>
      <protection locked="0"/>
    </xf>
    <xf numFmtId="4" applyNumberFormat="1" fontId="0" applyFont="1" fillId="2" applyFill="1" borderId="37" applyBorder="1" xfId="0" applyProtection="1" applyAlignment="1">
      <alignment horizontal="center" vertical="center"/>
    </xf>
    <xf numFmtId="4" applyNumberFormat="1" fontId="0" applyFont="1" fillId="2" applyFill="1" borderId="39" applyBorder="1" xfId="0" applyProtection="1" applyAlignment="1">
      <alignment horizontal="center" vertical="center"/>
    </xf>
    <xf numFmtId="4" applyNumberFormat="1" fontId="0" applyFont="1" fillId="2" applyFill="1" borderId="40" applyBorder="1" xfId="0" applyProtection="1" applyAlignment="1">
      <alignment horizontal="center" vertical="center"/>
    </xf>
    <xf numFmtId="4" applyNumberFormat="1" fontId="0" applyFont="1" fillId="2" applyFill="1" borderId="41" applyBorder="1" xfId="0" applyProtection="1" applyAlignment="1">
      <alignment horizontal="center" vertical="center"/>
    </xf>
    <xf numFmtId="0" applyNumberFormat="1" fontId="6" applyFont="1" fillId="0" applyFill="1" borderId="0" applyBorder="1" xfId="0" applyAlignment="1">
      <alignment vertical="center"/>
      <protection locked="0"/>
    </xf>
    <xf numFmtId="0" applyNumberFormat="1" fontId="3" applyFont="1" fillId="0" applyFill="1" borderId="35" applyBorder="1" xfId="0" applyAlignment="1">
      <alignment vertical="center"/>
      <protection locked="0"/>
    </xf>
    <xf numFmtId="0" applyNumberFormat="1" fontId="3" applyFont="1" fillId="0" applyFill="1" borderId="36" applyBorder="1" xfId="0" applyAlignment="1">
      <alignment vertical="center"/>
      <protection locked="0"/>
    </xf>
    <xf numFmtId="0" applyNumberFormat="1" fontId="3" applyFont="1" fillId="0" applyFill="1" borderId="0" applyBorder="1" xfId="0" applyAlignment="1">
      <alignment vertical="center"/>
      <protection locked="0"/>
    </xf>
    <xf numFmtId="0" applyNumberFormat="1" fontId="5" applyFont="1" fillId="0" applyFill="1" borderId="42" applyBorder="1" xfId="0" applyProtection="1" applyAlignment="1">
      <alignment vertical="center"/>
    </xf>
    <xf numFmtId="0" applyNumberFormat="1" fontId="0" applyFont="1" fillId="0" applyFill="1" borderId="21" applyBorder="1" xfId="0" applyAlignment="1">
      <alignment vertical="center"/>
      <protection locked="0"/>
    </xf>
    <xf numFmtId="0" applyNumberFormat="1" fontId="3" applyFont="1" fillId="0" applyFill="1" borderId="21" applyBorder="1" xfId="0" applyAlignment="1">
      <alignment vertical="center"/>
      <protection locked="0"/>
    </xf>
    <xf numFmtId="0" applyNumberFormat="1" fontId="3" applyFont="1" fillId="0" applyFill="1" borderId="43" applyBorder="1" xfId="0" applyAlignment="1">
      <alignment vertical="center"/>
      <protection locked="0"/>
    </xf>
    <xf numFmtId="0" applyNumberFormat="1" fontId="0" applyFont="1" fillId="0" applyFill="1" borderId="44" applyBorder="1" xfId="0" applyAlignment="1">
      <alignment vertical="center"/>
      <protection locked="0"/>
    </xf>
    <xf numFmtId="0" applyNumberFormat="1" fontId="0" applyFont="1" fillId="0" applyFill="1" borderId="0" applyBorder="1" xfId="0" applyProtection="1" applyAlignment="1">
      <alignment vertical="center"/>
    </xf>
    <xf numFmtId="14" applyNumberFormat="1" fontId="9" applyFont="1" fillId="0" applyFill="1" borderId="47" applyBorder="1" xfId="0" applyProtection="1" applyAlignment="1">
      <alignment horizontal="center" vertical="center" wrapText="1"/>
    </xf>
    <xf numFmtId="0" applyNumberFormat="1" fontId="9" applyFont="1" fillId="0" applyFill="1" borderId="47" applyBorder="1" xfId="0" applyProtection="1" applyAlignment="1">
      <alignment horizontal="center" vertical="center"/>
    </xf>
    <xf numFmtId="0" applyNumberFormat="1" fontId="9" applyFont="1" fillId="0" applyFill="1" borderId="48" applyBorder="1" xfId="0" applyProtection="1" applyAlignment="1">
      <alignment horizontal="center" vertical="center"/>
    </xf>
    <xf numFmtId="14" applyNumberFormat="1" fontId="11" applyFont="1" fillId="2" applyFill="1" borderId="47" applyBorder="1" xfId="0" applyProtection="1" applyAlignment="1">
      <alignment horizontal="center" vertical="center"/>
    </xf>
    <xf numFmtId="0" applyNumberFormat="1" fontId="3" applyFont="1" fillId="0" applyFill="1" borderId="49" applyBorder="1" xfId="0" applyAlignment="1">
      <alignment vertical="center"/>
      <protection locked="0"/>
    </xf>
    <xf numFmtId="3" applyNumberFormat="1" fontId="11" applyFont="1" fillId="5" applyFill="1" borderId="47" applyBorder="1" xfId="0" applyProtection="1" applyAlignment="1">
      <alignment horizontal="center" vertical="center"/>
    </xf>
    <xf numFmtId="0" applyNumberFormat="1" fontId="0" applyFont="1" fillId="0" applyFill="1" borderId="51" applyBorder="1" xfId="0" applyAlignment="1">
      <alignment vertical="center"/>
      <protection locked="0"/>
    </xf>
    <xf numFmtId="0" applyNumberFormat="1" fontId="0" applyFont="1" fillId="0" applyFill="1" borderId="52" applyBorder="1" xfId="0" applyAlignment="1">
      <alignment vertical="center"/>
      <protection locked="0"/>
    </xf>
    <xf numFmtId="0" applyNumberFormat="1" fontId="3" applyFont="1" fillId="0" applyFill="1" borderId="52" applyBorder="1" xfId="0" applyAlignment="1">
      <alignment vertical="center"/>
      <protection locked="0"/>
    </xf>
    <xf numFmtId="0" applyNumberFormat="1" fontId="3" applyFont="1" fillId="0" applyFill="1" borderId="53" applyBorder="1" xfId="0" applyAlignment="1">
      <alignment vertical="center"/>
      <protection locked="0"/>
    </xf>
    <xf numFmtId="0" applyNumberFormat="1" fontId="3" applyFont="1" fillId="0" applyFill="1" borderId="44" applyBorder="1" xfId="0" applyAlignment="1">
      <alignment vertical="center"/>
      <protection locked="0"/>
    </xf>
    <xf numFmtId="0" applyNumberFormat="1" fontId="6" applyFont="1" fillId="0" applyFill="1" borderId="0" applyBorder="1" xfId="0" applyProtection="1" applyAlignment="1">
      <alignment horizontal="right" vertical="center"/>
    </xf>
    <xf numFmtId="0" applyNumberFormat="1" fontId="0" applyFont="1" fillId="0" applyFill="1" borderId="49" applyBorder="1" xfId="0" applyAlignment="1">
      <alignment horizontal="center" vertical="center"/>
      <protection locked="0"/>
    </xf>
    <xf numFmtId="0" applyNumberFormat="1" fontId="6" applyFont="1" fillId="0" applyFill="1" borderId="0" applyBorder="1" xfId="0" applyProtection="1" applyAlignment="1">
      <alignment horizontal="right" vertical="center" readingOrder="2"/>
    </xf>
    <xf numFmtId="0" applyNumberFormat="1" fontId="3" applyFont="1" fillId="0" applyFill="1" borderId="0" applyBorder="1" xfId="0" applyAlignment="1">
      <alignment horizontal="right" vertical="center"/>
      <protection locked="0"/>
    </xf>
    <xf numFmtId="0" applyNumberFormat="1" fontId="6" applyFont="1" fillId="0" applyFill="1" borderId="0" applyBorder="1" xfId="0" applyProtection="1" applyAlignment="1">
      <alignment horizontal="left" vertical="center" readingOrder="2"/>
    </xf>
    <xf numFmtId="0" applyNumberFormat="1" fontId="6" applyFont="1" fillId="0" applyFill="1" borderId="0" applyBorder="1" xfId="0" applyProtection="1" applyAlignment="1">
      <alignment horizontal="left" vertical="center" readingOrder="1"/>
    </xf>
    <xf numFmtId="1" applyNumberFormat="1" fontId="11" applyFont="1" fillId="7" applyFill="1" borderId="47" applyBorder="1" xfId="0" applyAlignment="1">
      <alignment horizontal="center" vertical="center"/>
      <protection locked="0"/>
    </xf>
    <xf numFmtId="1" applyNumberFormat="1" fontId="11" applyFont="1" fillId="7" applyFill="1" borderId="47" applyBorder="1" xfId="0" applyProtection="1" applyAlignment="1">
      <alignment horizontal="center" vertical="center"/>
    </xf>
    <xf numFmtId="1" applyNumberFormat="1" fontId="11" applyFont="1" fillId="9" applyFill="1" borderId="47" applyBorder="1" xfId="0" applyAlignment="1">
      <alignment horizontal="center" vertical="center"/>
      <protection locked="0"/>
    </xf>
    <xf numFmtId="1" applyNumberFormat="1" fontId="11" applyFont="1" fillId="9" applyFill="1" borderId="47" applyBorder="1" xfId="0" applyProtection="1" applyAlignment="1">
      <alignment horizontal="center" vertical="center"/>
    </xf>
    <xf numFmtId="1" applyNumberFormat="1" fontId="11" applyFont="1" fillId="8" applyFill="1" borderId="48" applyBorder="1" xfId="0" applyProtection="1" applyAlignment="1">
      <alignment horizontal="center" vertical="center"/>
    </xf>
    <xf numFmtId="0" applyNumberFormat="1" fontId="0" applyFont="1" fillId="0" applyFill="1" borderId="0" applyBorder="1" xfId="0" applyAlignment="1">
      <alignment horizontal="right" vertical="center"/>
      <protection locked="0"/>
    </xf>
    <xf numFmtId="0" applyNumberFormat="1" fontId="0" applyFont="1" fillId="0" applyFill="1" borderId="58" applyBorder="1" xfId="0" applyAlignment="1">
      <alignment vertical="center"/>
      <protection locked="0"/>
    </xf>
    <xf numFmtId="0" applyNumberFormat="1" fontId="3" applyFont="1" fillId="0" applyFill="1" borderId="58" applyBorder="1" xfId="0" applyAlignment="1">
      <alignment horizontal="right" vertical="center"/>
      <protection locked="0"/>
    </xf>
    <xf numFmtId="0" applyNumberFormat="1" fontId="3" applyFont="1" fillId="0" applyFill="1" borderId="58" applyBorder="1" xfId="0" applyAlignment="1">
      <alignment vertical="center"/>
      <protection locked="0"/>
    </xf>
    <xf numFmtId="0" applyNumberFormat="1" fontId="3" applyFont="1" fillId="0" applyFill="1" borderId="52" applyBorder="1" xfId="0" applyAlignment="1">
      <alignment horizontal="center" vertical="center"/>
      <protection locked="0"/>
    </xf>
    <xf numFmtId="0" applyNumberFormat="1" fontId="3" applyFont="1" fillId="0" applyFill="1" borderId="53" applyBorder="1" xfId="0" applyAlignment="1">
      <alignment horizontal="center" vertical="center"/>
      <protection locked="0"/>
    </xf>
    <xf numFmtId="0" applyNumberFormat="1" fontId="5" applyFont="1" fillId="0" applyFill="1" borderId="7" applyBorder="1" xfId="0" applyProtection="1" applyAlignment="1">
      <alignment horizontal="center" vertical="center"/>
    </xf>
    <xf numFmtId="0" applyNumberFormat="1" fontId="12" applyFont="1" fillId="6" applyFill="1" borderId="64" applyBorder="1" xfId="0" applyProtection="1" applyAlignment="1">
      <alignment vertical="center" wrapText="1"/>
    </xf>
    <xf numFmtId="0" applyNumberFormat="1" fontId="14" applyFont="1" fillId="4" applyFill="1" borderId="10" applyBorder="1" xfId="0" applyProtection="1" applyAlignment="1">
      <alignment horizontal="center" vertical="center" wrapText="1"/>
    </xf>
    <xf numFmtId="4" applyNumberFormat="1" fontId="7" applyFont="1" fillId="2" applyFill="1" borderId="29" applyBorder="1" xfId="0" applyProtection="1" applyAlignment="1">
      <alignment horizontal="center" vertical="center"/>
    </xf>
    <xf numFmtId="4" applyNumberFormat="1" fontId="7" applyFont="1" fillId="2" applyFill="1" borderId="37" applyBorder="1" xfId="0" applyProtection="1" applyAlignment="1">
      <alignment horizontal="center" vertical="center"/>
    </xf>
    <xf numFmtId="4" applyNumberFormat="1" fontId="7" applyFont="1" fillId="5" applyFill="1" borderId="37" applyBorder="1" xfId="15" applyProtection="1" applyAlignment="1">
      <alignment horizontal="center" vertical="center"/>
    </xf>
    <xf numFmtId="10" applyNumberFormat="1" fontId="7" applyFont="1" fillId="2" applyFill="1" borderId="37" applyBorder="1" xfId="13" applyAlignment="1">
      <alignment horizontal="center" vertical="center"/>
      <protection locked="0"/>
    </xf>
    <xf numFmtId="0" applyNumberFormat="1" fontId="7" applyFont="1" fillId="0" applyFill="1" borderId="35" applyBorder="1" xfId="0" applyAlignment="1">
      <alignment vertical="center"/>
      <protection locked="0"/>
    </xf>
    <xf numFmtId="4" applyNumberFormat="1" fontId="15" applyFont="1" fillId="2" applyFill="1" borderId="37" applyBorder="1" xfId="0" applyProtection="1" applyAlignment="1">
      <alignment horizontal="center" vertical="center"/>
    </xf>
    <xf numFmtId="0" applyNumberFormat="1" fontId="11" applyFont="1" fillId="0" applyFill="1" borderId="0" applyBorder="1" xfId="0" applyAlignment="1">
      <alignment vertical="center"/>
      <protection locked="0"/>
    </xf>
    <xf numFmtId="0" applyNumberFormat="1" fontId="17" applyFont="1" fillId="6" applyFill="1" borderId="13" applyBorder="1" xfId="0" applyProtection="1" applyAlignment="1">
      <alignment vertical="center" wrapText="1"/>
    </xf>
    <xf numFmtId="0" applyNumberFormat="1" fontId="11" applyFont="1" fillId="0" applyFill="1" borderId="0" applyBorder="1" xfId="0" applyAlignment="1">
      <alignment horizontal="center" vertical="center"/>
      <protection locked="0"/>
    </xf>
    <xf numFmtId="0" applyNumberFormat="1" fontId="11" applyFont="1" fillId="0" applyFill="1" borderId="49" applyBorder="1" xfId="0" applyAlignment="1">
      <alignment horizontal="center" vertical="center"/>
      <protection locked="0"/>
    </xf>
    <xf numFmtId="4" applyNumberFormat="1" fontId="7" applyFont="1" fillId="2" applyFill="1" borderId="32" applyBorder="1" xfId="0" applyProtection="1" applyAlignment="1">
      <alignment horizontal="center" vertical="center"/>
    </xf>
    <xf numFmtId="4" applyNumberFormat="1" fontId="7" applyFont="1" fillId="2" applyFill="1" borderId="40" applyBorder="1" xfId="0" applyProtection="1" applyAlignment="1">
      <alignment horizontal="center" vertical="center"/>
    </xf>
    <xf numFmtId="0" applyNumberFormat="1" fontId="3" applyFont="1" fillId="0" applyFill="1" borderId="0" applyBorder="1" xfId="0" applyAlignment="1">
      <alignment vertical="top"/>
      <protection locked="0"/>
    </xf>
    <xf numFmtId="10" applyNumberFormat="1" fontId="7" applyFont="1" fillId="5" applyFill="1" borderId="37" applyBorder="1" xfId="13" applyProtection="1" applyAlignment="1">
      <alignment horizontal="center" vertical="center"/>
    </xf>
    <xf numFmtId="0" applyNumberFormat="1" fontId="0" applyFont="1" fillId="0" applyFill="1" borderId="54" applyBorder="1" xfId="0" applyAlignment="1">
      <alignment vertical="center"/>
      <protection locked="0"/>
    </xf>
    <xf numFmtId="0" applyNumberFormat="1" fontId="0" applyFont="1" fillId="0" applyFill="1" borderId="57" applyBorder="1" xfId="0" applyAlignment="1">
      <alignment vertical="center"/>
      <protection locked="0"/>
    </xf>
    <xf numFmtId="0" applyNumberFormat="1" fontId="0" applyFont="1" fillId="0" applyFill="1" borderId="44" applyBorder="1" xfId="0" applyProtection="1" applyAlignment="1">
      <alignment horizontal="right" vertical="center"/>
    </xf>
    <xf numFmtId="0" applyNumberFormat="1" fontId="0" applyFont="1" fillId="0" applyFill="1" borderId="0" applyBorder="1" xfId="0" applyProtection="1" applyAlignment="1">
      <alignment horizontal="right" vertical="center"/>
    </xf>
    <xf numFmtId="0" applyNumberFormat="1" fontId="7" applyFont="1" fillId="0" applyFill="1" borderId="26" applyBorder="1" xfId="0" applyProtection="1" applyAlignment="1">
      <alignment vertical="center"/>
    </xf>
    <xf numFmtId="0" applyNumberFormat="1" fontId="7" applyFont="1" fillId="0" applyFill="1" borderId="34" applyBorder="1" xfId="0" applyProtection="1" applyAlignment="1">
      <alignment vertical="center"/>
    </xf>
    <xf numFmtId="0" applyNumberFormat="1" fontId="5" applyFont="1" fillId="0" applyFill="1" borderId="34" applyBorder="1" xfId="0" applyProtection="1" applyAlignment="1">
      <alignment vertical="center"/>
    </xf>
    <xf numFmtId="0" applyNumberFormat="1" fontId="7" applyFont="1" fillId="0" applyFill="1" borderId="34" applyBorder="1" xfId="0" applyProtection="1" applyAlignment="1">
      <alignment horizontal="left" vertical="center"/>
    </xf>
    <xf numFmtId="0" applyNumberFormat="1" fontId="7" applyFont="1" fillId="0" applyFill="1" borderId="27" applyBorder="1" xfId="0" applyAlignment="1">
      <alignment vertical="center"/>
      <protection locked="0"/>
    </xf>
    <xf numFmtId="164" applyNumberFormat="1" fontId="11" applyFont="1" fillId="7" applyFill="1" borderId="47" applyBorder="1" xfId="1" applyProtection="1" applyAlignment="1">
      <alignment horizontal="center" vertical="center"/>
    </xf>
    <xf numFmtId="4" applyNumberFormat="1" fontId="5" applyFont="1" fillId="6" applyFill="1" borderId="10" applyBorder="1" xfId="15" applyProtection="1" applyAlignment="1">
      <alignment horizontal="center" vertical="center" wrapText="1"/>
    </xf>
    <xf numFmtId="0" applyNumberFormat="1" fontId="16" applyFont="1" fillId="6" applyFill="1" borderId="10" applyBorder="1" xfId="0" applyProtection="1" applyAlignment="1">
      <alignment horizontal="center" vertical="center" wrapText="1"/>
    </xf>
    <xf numFmtId="10" applyNumberFormat="1" fontId="11" applyFont="1" fillId="7" applyFill="1" borderId="47" applyBorder="1" xfId="13" applyProtection="1" applyAlignment="1">
      <alignment horizontal="center" vertical="center"/>
    </xf>
    <xf numFmtId="166" applyNumberFormat="1" fontId="11" applyFont="1" fillId="7" applyFill="1" borderId="47" applyBorder="1" xfId="13" applyProtection="1" applyAlignment="1">
      <alignment horizontal="center" vertical="center"/>
    </xf>
    <xf numFmtId="0" applyNumberFormat="1" fontId="7" applyFont="1" fillId="2" applyFill="1" borderId="61" applyBorder="1" xfId="0" applyAlignment="1">
      <alignment vertical="top"/>
      <protection locked="0"/>
    </xf>
    <xf numFmtId="0" applyNumberFormat="1" fontId="7" applyFont="1" fillId="2" applyFill="1" borderId="27" applyBorder="1" xfId="0" applyAlignment="1">
      <alignment vertical="top"/>
      <protection locked="0"/>
    </xf>
    <xf numFmtId="0" applyNumberFormat="1" fontId="7" applyFont="1" fillId="2" applyFill="1" borderId="62" applyBorder="1" xfId="0" applyAlignment="1">
      <alignment vertical="top"/>
      <protection locked="0"/>
    </xf>
    <xf numFmtId="0" applyNumberFormat="1" fontId="7" applyFont="1" fillId="10" applyFill="1" borderId="0" applyBorder="1" xfId="0" applyAlignment="1">
      <alignment vertical="top" wrapText="1"/>
      <protection locked="0"/>
    </xf>
    <xf numFmtId="0" applyNumberFormat="1" fontId="7" applyFont="1" fillId="10" applyFill="1" borderId="27" applyBorder="1" xfId="0" applyAlignment="1">
      <alignment vertical="top" wrapText="1"/>
      <protection locked="0"/>
    </xf>
    <xf numFmtId="0" applyNumberFormat="1" fontId="7" applyFont="1" fillId="10" applyFill="1" borderId="62" applyBorder="1" xfId="0" applyAlignment="1">
      <alignment vertical="top" wrapText="1"/>
      <protection locked="0"/>
    </xf>
    <xf numFmtId="4" applyNumberFormat="1" fontId="7" applyFont="1" fillId="2" applyFill="1" borderId="37" applyBorder="1" xfId="0" quotePrefix="1" applyProtection="1" applyAlignment="1">
      <alignment horizontal="center" vertical="center"/>
    </xf>
    <xf numFmtId="4" applyNumberFormat="1" fontId="7" applyFont="1" fillId="2" applyFill="1" borderId="40" applyBorder="1" xfId="0" quotePrefix="1" applyProtection="1" applyAlignment="1">
      <alignment horizontal="center" vertical="center"/>
    </xf>
    <xf numFmtId="4" applyNumberFormat="1" fontId="7" applyFont="1" fillId="2" applyFill="1" borderId="70" applyBorder="1" xfId="0" applyProtection="1" applyAlignment="1">
      <alignment horizontal="center" vertical="center" wrapText="1"/>
    </xf>
    <xf numFmtId="4" applyNumberFormat="1" fontId="0" applyFont="1" fillId="5" applyFill="1" borderId="39" applyBorder="1" xfId="15" applyProtection="1" applyAlignment="1">
      <alignment horizontal="center" vertical="center"/>
    </xf>
    <xf numFmtId="10" applyNumberFormat="1" fontId="0" applyFont="1" fillId="5" applyFill="1" borderId="39" applyBorder="1" xfId="13" applyProtection="1" applyAlignment="1">
      <alignment horizontal="center" vertical="center"/>
    </xf>
    <xf numFmtId="4" applyNumberFormat="1" fontId="7" applyFont="1" fillId="2" applyFill="1" borderId="37" applyBorder="1" xfId="0" applyProtection="1" applyAlignment="1">
      <alignment horizontal="center" vertical="center" wrapText="1"/>
    </xf>
    <xf numFmtId="10" applyNumberFormat="1" fontId="0" applyFont="1" fillId="2" applyFill="1" borderId="37" applyBorder="1" xfId="13" applyAlignment="1">
      <alignment horizontal="center" vertical="center"/>
      <protection locked="0"/>
    </xf>
    <xf numFmtId="0" applyNumberFormat="1" fontId="0" applyFont="1" fillId="0" applyFill="1" borderId="0" applyBorder="1" xfId="0" applyAlignment="1">
      <alignment horizontal="left" vertical="center"/>
      <protection locked="0"/>
    </xf>
    <xf numFmtId="0" applyNumberFormat="1" fontId="14" applyFont="1" fillId="0" applyFill="1" borderId="7" applyBorder="1" xfId="0" applyProtection="1" applyAlignment="1">
      <alignment horizontal="center" vertical="center" wrapText="1"/>
    </xf>
    <xf numFmtId="0" applyNumberFormat="1" fontId="9" applyFont="1" fillId="2" applyFill="1" borderId="8" applyBorder="1" xfId="0" applyAlignment="1">
      <alignment horizontal="center" vertical="center" wrapText="1"/>
      <protection locked="0"/>
    </xf>
    <xf numFmtId="10" applyNumberFormat="1" fontId="7" applyFont="1" fillId="2" applyFill="1" borderId="37" applyBorder="1" xfId="13" quotePrefix="1" applyAlignment="1">
      <alignment horizontal="center" vertical="center"/>
      <protection locked="0"/>
    </xf>
    <xf numFmtId="0" applyNumberFormat="1" fontId="14" applyFont="1" fillId="4" applyFill="1" borderId="10" applyBorder="1" xfId="0" quotePrefix="1" applyProtection="1" applyAlignment="1">
      <alignment horizontal="center" vertical="center" wrapText="1"/>
    </xf>
    <xf numFmtId="0" applyNumberFormat="1" fontId="9" applyFont="1" fillId="4" applyFill="1" borderId="10" applyBorder="1" xfId="0" quotePrefix="1" applyProtection="1" applyAlignment="1">
      <alignment horizontal="center" vertical="center" wrapText="1"/>
    </xf>
    <xf numFmtId="0" applyNumberFormat="1" fontId="9" applyFont="1" fillId="4" applyFill="1" borderId="11" applyBorder="1" xfId="0" quotePrefix="1" applyProtection="1" applyAlignment="1">
      <alignment horizontal="center" vertical="center" wrapText="1"/>
    </xf>
    <xf numFmtId="10" applyNumberFormat="1" fontId="0" applyFont="1" fillId="2" applyFill="1" borderId="39" applyBorder="1" xfId="13" quotePrefix="1" applyAlignment="1">
      <alignment horizontal="center" vertical="center"/>
      <protection locked="0"/>
    </xf>
    <xf numFmtId="0" applyNumberFormat="1" fontId="5" applyFont="1" fillId="0" applyFill="1" borderId="72" applyBorder="1" xfId="0" applyProtection="1" applyAlignment="1">
      <alignment horizontal="left" vertical="center"/>
    </xf>
    <xf numFmtId="0" applyNumberFormat="1" fontId="7" applyFont="1" fillId="0" applyFill="1" borderId="73" applyBorder="1" xfId="0" applyAlignment="1">
      <alignment vertical="center"/>
      <protection locked="0"/>
    </xf>
    <xf numFmtId="0" applyNumberFormat="1" fontId="3" applyFont="1" fillId="0" applyFill="1" borderId="73" applyBorder="1" xfId="0" applyAlignment="1">
      <alignment vertical="center"/>
      <protection locked="0"/>
    </xf>
    <xf numFmtId="0" applyNumberFormat="1" fontId="3" applyFont="1" fillId="0" applyFill="1" borderId="74" applyBorder="1" xfId="0" applyAlignment="1">
      <alignment vertical="center"/>
      <protection locked="0"/>
    </xf>
    <xf numFmtId="10" applyNumberFormat="1" fontId="5" applyFont="1" fillId="2" applyFill="1" borderId="75" applyBorder="1" xfId="13" applyProtection="1" applyAlignment="1">
      <alignment horizontal="center" vertical="center"/>
    </xf>
    <xf numFmtId="10" applyNumberFormat="1" fontId="0" applyFont="1" fillId="2" applyFill="1" borderId="77" applyBorder="1" xfId="13" applyProtection="1" applyAlignment="1">
      <alignment horizontal="center" vertical="center"/>
    </xf>
    <xf numFmtId="4" applyNumberFormat="1" fontId="0" applyFont="1" fillId="2" applyFill="1" borderId="33" applyBorder="1" xfId="0" applyProtection="1" applyAlignment="1">
      <alignment horizontal="center" vertical="center" wrapText="1"/>
    </xf>
    <xf numFmtId="0" applyNumberFormat="1" fontId="14" applyFont="1" fillId="0" applyFill="1" borderId="13" applyBorder="1" xfId="0" applyProtection="1" applyAlignment="1">
      <alignment horizontal="center" vertical="center"/>
    </xf>
    <xf numFmtId="0" applyNumberFormat="1" fontId="14" applyFont="1" fillId="0" applyFill="1" borderId="10" applyBorder="1" xfId="0" applyProtection="1" applyAlignment="1">
      <alignment horizontal="center" vertical="center" wrapText="1"/>
    </xf>
    <xf numFmtId="14" applyNumberFormat="1" fontId="22" applyFont="1" fillId="2" applyFill="1" borderId="47" applyBorder="1" xfId="0" applyProtection="1" applyAlignment="1">
      <alignment horizontal="center" vertical="center"/>
    </xf>
    <xf numFmtId="4" applyNumberFormat="1" fontId="0" applyFont="1" fillId="0" applyFill="1" borderId="0" applyBorder="1" xfId="0" applyAlignment="1">
      <alignment horizontal="center" vertical="center"/>
      <protection locked="0"/>
    </xf>
    <xf numFmtId="0" applyNumberFormat="1" fontId="5" applyFont="1" fillId="0" applyFill="1" borderId="4" applyBorder="1" xfId="0" applyProtection="1" applyAlignment="1">
      <alignment horizontal="center" vertical="center"/>
    </xf>
    <xf numFmtId="0" applyNumberFormat="1" fontId="0" applyFont="1" fillId="0" applyFill="1" borderId="1" applyBorder="1" xfId="0" applyProtection="1" applyAlignment="1">
      <alignment horizontal="center" vertical="center"/>
    </xf>
    <xf numFmtId="0" applyNumberFormat="1" fontId="5" applyFont="1" fillId="0" applyFill="1" borderId="9" applyBorder="1" xfId="0" applyProtection="1" applyAlignment="1">
      <alignment horizontal="center" vertical="center"/>
    </xf>
    <xf numFmtId="0" applyNumberFormat="1" fontId="0" applyFont="1" fillId="0" applyFill="1" borderId="20" applyBorder="1" xfId="0" applyProtection="1" applyAlignment="1">
      <alignment horizontal="center" vertical="center" wrapText="1"/>
    </xf>
    <xf numFmtId="1" applyNumberFormat="1" fontId="11" applyFont="1" fillId="0" applyFill="1" borderId="0" applyBorder="1" xfId="0" applyAlignment="1">
      <alignment horizontal="center" vertical="center"/>
      <protection locked="0"/>
    </xf>
    <xf numFmtId="0" applyNumberFormat="1" fontId="9" applyFont="1" fillId="0" applyFill="1" borderId="49" applyBorder="1" xfId="0" applyProtection="1" applyAlignment="1">
      <alignment horizontal="center" vertical="center"/>
    </xf>
    <xf numFmtId="1" applyNumberFormat="1" fontId="11" applyFont="1" fillId="0" applyFill="1" borderId="49" applyBorder="1" xfId="0" applyProtection="1" applyAlignment="1">
      <alignment horizontal="center" vertical="center"/>
    </xf>
    <xf numFmtId="0" applyNumberFormat="1" fontId="5" applyFont="1" fillId="0" applyFill="1" borderId="82" applyBorder="1" xfId="0" applyProtection="1" applyAlignment="1">
      <alignment vertical="center"/>
    </xf>
    <xf numFmtId="0" applyNumberFormat="1" fontId="5" applyFont="1" fillId="0" applyFill="1" borderId="84" applyBorder="1" xfId="0" applyProtection="1" applyAlignment="1">
      <alignment horizontal="center" vertical="center"/>
    </xf>
    <xf numFmtId="0" applyNumberFormat="1" fontId="7" applyFont="1" fillId="0" applyFill="1" borderId="0" applyBorder="1" xfId="0" applyProtection="1" applyAlignment="1">
      <alignment vertical="center"/>
    </xf>
    <xf numFmtId="0" applyNumberFormat="1" fontId="5" applyFont="1" fillId="0" applyFill="1" borderId="82" applyBorder="1" xfId="0" applyProtection="1" applyAlignment="1">
      <alignment horizontal="center" vertical="center"/>
    </xf>
    <xf numFmtId="0" applyNumberFormat="1" fontId="0" applyFont="1" fillId="0" applyFill="1" borderId="0" applyBorder="1" xfId="0">
      <protection locked="0"/>
    </xf>
    <xf numFmtId="0" applyNumberFormat="1" fontId="0" applyFont="1" fillId="0" applyFill="1" borderId="44" applyBorder="1" xfId="0">
      <protection locked="0"/>
    </xf>
    <xf numFmtId="0" applyNumberFormat="1" fontId="9" applyFont="1" fillId="0" applyFill="1" borderId="49" applyBorder="1" xfId="0" applyProtection="1" applyAlignment="1">
      <alignment horizontal="center"/>
    </xf>
    <xf numFmtId="0" applyNumberFormat="1" fontId="5" applyFont="1" fillId="0" applyFill="1" borderId="44" applyBorder="1" xfId="0" applyProtection="1" applyAlignment="1">
      <alignment vertical="center"/>
    </xf>
    <xf numFmtId="0" applyNumberFormat="1" fontId="5" applyFont="1" fillId="0" applyFill="1" borderId="15" applyBorder="1" xfId="0" applyProtection="1" applyAlignment="1">
      <alignment horizontal="centerContinuous" vertical="center"/>
    </xf>
    <xf numFmtId="0" applyNumberFormat="1" fontId="0" applyFont="1" fillId="0" applyFill="1" borderId="16" applyBorder="1" xfId="0" applyAlignment="1">
      <alignment horizontal="centerContinuous" vertical="center"/>
      <protection locked="0"/>
    </xf>
    <xf numFmtId="0" applyNumberFormat="1" fontId="3" applyFont="1" fillId="0" applyFill="1" borderId="16" applyBorder="1" xfId="0" applyAlignment="1">
      <alignment horizontal="centerContinuous" vertical="center"/>
      <protection locked="0"/>
    </xf>
    <xf numFmtId="0" applyNumberFormat="1" fontId="3" applyFont="1" fillId="0" applyFill="1" borderId="17" applyBorder="1" xfId="0" applyAlignment="1">
      <alignment horizontal="centerContinuous" vertical="center"/>
      <protection locked="0"/>
    </xf>
    <xf numFmtId="0" applyNumberFormat="1" fontId="14" applyFont="1" fillId="11" applyFill="1" borderId="10" applyBorder="1" xfId="0" applyProtection="1" applyAlignment="1">
      <alignment horizontal="center" vertical="center" wrapText="1"/>
    </xf>
    <xf numFmtId="0" applyNumberFormat="1" fontId="14" applyFont="1" fillId="11" applyFill="1" borderId="10" applyBorder="1" xfId="0" quotePrefix="1" applyProtection="1" applyAlignment="1">
      <alignment horizontal="center" vertical="center" wrapText="1"/>
    </xf>
    <xf numFmtId="0" applyNumberFormat="1" fontId="14" applyFont="1" fillId="11" applyFill="1" borderId="23" applyBorder="1" xfId="0" quotePrefix="1" applyProtection="1" applyAlignment="1">
      <alignment horizontal="center" vertical="center" wrapText="1"/>
    </xf>
    <xf numFmtId="0" applyNumberFormat="1" fontId="9" applyFont="1" fillId="11" applyFill="1" borderId="10" applyBorder="1" xfId="0" quotePrefix="1" applyProtection="1" applyAlignment="1">
      <alignment horizontal="center" vertical="center" wrapText="1"/>
    </xf>
    <xf numFmtId="0" applyNumberFormat="1" fontId="9" applyFont="1" fillId="11" applyFill="1" borderId="11" applyBorder="1" xfId="0" quotePrefix="1" applyProtection="1" applyAlignment="1">
      <alignment horizontal="center" vertical="center" wrapText="1"/>
    </xf>
    <xf numFmtId="4" applyNumberFormat="1" fontId="7" applyFont="1" fillId="11" applyFill="1" borderId="81" applyBorder="1" xfId="15" applyProtection="1" applyAlignment="1">
      <alignment horizontal="center" vertical="center"/>
    </xf>
    <xf numFmtId="4" applyNumberFormat="1" fontId="7" applyFont="1" fillId="11" applyFill="1" borderId="47" applyBorder="1" xfId="15" applyProtection="1" applyAlignment="1">
      <alignment horizontal="center" vertical="center"/>
    </xf>
    <xf numFmtId="4" applyNumberFormat="1" fontId="7" applyFont="1" fillId="11" applyFill="1" borderId="47" applyBorder="1" xfId="15" quotePrefix="1" applyProtection="1" applyAlignment="1">
      <alignment horizontal="center" vertical="center"/>
    </xf>
    <xf numFmtId="4" applyNumberFormat="1" fontId="7" applyFont="1" fillId="11" applyFill="1" borderId="48" applyBorder="1" xfId="15" applyProtection="1" applyAlignment="1">
      <alignment horizontal="center" vertical="center"/>
    </xf>
    <xf numFmtId="10" applyNumberFormat="1" fontId="7" applyFont="1" fillId="11" applyFill="1" borderId="81" applyBorder="1" xfId="13" applyProtection="1" applyAlignment="1">
      <alignment horizontal="center" vertical="center"/>
    </xf>
    <xf numFmtId="10" applyNumberFormat="1" fontId="7" applyFont="1" fillId="11" applyFill="1" borderId="47" applyBorder="1" xfId="13" applyProtection="1" applyAlignment="1">
      <alignment horizontal="center" vertical="center"/>
    </xf>
    <xf numFmtId="10" applyNumberFormat="1" fontId="7" applyFont="1" fillId="11" applyFill="1" borderId="47" applyBorder="1" xfId="13" quotePrefix="1" applyProtection="1" applyAlignment="1">
      <alignment horizontal="center" vertical="center"/>
    </xf>
    <xf numFmtId="10" applyNumberFormat="1" fontId="7" applyFont="1" fillId="11" applyFill="1" borderId="48" applyBorder="1" xfId="13" applyProtection="1" applyAlignment="1">
      <alignment horizontal="center" vertical="center"/>
    </xf>
    <xf numFmtId="0" applyNumberFormat="1" fontId="17" applyFont="1" fillId="12" applyFill="1" borderId="13" applyBorder="1" xfId="0" applyProtection="1" applyAlignment="1">
      <alignment horizontal="center" vertical="center" wrapText="1"/>
    </xf>
    <xf numFmtId="0" applyNumberFormat="1" fontId="12" applyFont="1" fillId="12" applyFill="1" borderId="64" applyBorder="1" xfId="0" applyProtection="1" applyAlignment="1">
      <alignment vertical="center" wrapText="1"/>
    </xf>
    <xf numFmtId="0" applyNumberFormat="1" fontId="17" applyFont="1" fillId="12" applyFill="1" borderId="13" applyBorder="1" xfId="0" quotePrefix="1" applyProtection="1" applyAlignment="1">
      <alignment horizontal="center" vertical="center" wrapText="1"/>
    </xf>
    <xf numFmtId="0" applyNumberFormat="1" fontId="9" applyFont="1" fillId="11" applyFill="1" borderId="70" applyBorder="1" xfId="0" applyProtection="1" applyAlignment="1">
      <alignment horizontal="center" vertical="center" wrapText="1"/>
    </xf>
    <xf numFmtId="0" applyNumberFormat="1" fontId="9" applyFont="1" fillId="11" applyFill="1" borderId="40" applyBorder="1" xfId="0" applyProtection="1" applyAlignment="1">
      <alignment horizontal="center" vertical="center" wrapText="1"/>
    </xf>
    <xf numFmtId="0" applyNumberFormat="1" fontId="9" applyFont="1" fillId="11" applyFill="1" borderId="67" applyBorder="1" xfId="0" applyProtection="1" applyAlignment="1">
      <alignment horizontal="center" vertical="center" wrapText="1"/>
    </xf>
    <xf numFmtId="0" applyNumberFormat="1" fontId="9" applyFont="1" fillId="11" applyFill="1" borderId="69" applyBorder="1" xfId="0" applyProtection="1" applyAlignment="1">
      <alignment horizontal="center" vertical="center" wrapText="1"/>
    </xf>
    <xf numFmtId="0" applyNumberFormat="1" fontId="9" applyFont="1" fillId="11" applyFill="1" borderId="85" applyBorder="1" xfId="0" applyProtection="1" applyAlignment="1">
      <alignment horizontal="center" vertical="center" wrapText="1"/>
    </xf>
    <xf numFmtId="0" applyNumberFormat="1" fontId="9" applyFont="1" fillId="11" applyFill="1" borderId="28" applyBorder="1" xfId="0" applyProtection="1" applyAlignment="1">
      <alignment horizontal="center" vertical="center" wrapText="1"/>
    </xf>
    <xf numFmtId="0" applyNumberFormat="1" fontId="9" applyFont="1" fillId="11" applyFill="1" borderId="67" applyBorder="1" xfId="0" applyProtection="1" applyAlignment="1">
      <alignment horizontal="center" vertical="center"/>
    </xf>
    <xf numFmtId="0" applyNumberFormat="1" fontId="24" applyFont="1" fillId="11" applyFill="1" borderId="85" applyBorder="1" xfId="0" applyProtection="1" applyAlignment="1">
      <alignment horizontal="center" vertical="center"/>
    </xf>
    <xf numFmtId="0" applyNumberFormat="1" fontId="17" applyFont="1" fillId="0" applyFill="1" borderId="9" applyBorder="1" xfId="0" applyProtection="1" applyAlignment="1">
      <alignment horizontal="center" vertical="center" wrapText="1"/>
    </xf>
    <xf numFmtId="0" applyNumberFormat="1" fontId="14" applyFont="1" fillId="0" applyFill="1" borderId="23" applyBorder="1" xfId="0" applyProtection="1" applyAlignment="1">
      <alignment horizontal="center" vertical="center" wrapText="1"/>
    </xf>
    <xf numFmtId="0" applyNumberFormat="1" fontId="17" applyFont="1" fillId="0" applyFill="1" borderId="23" applyBorder="1" xfId="0" applyProtection="1" applyAlignment="1">
      <alignment horizontal="center" vertical="center" wrapText="1"/>
    </xf>
    <xf numFmtId="0" applyNumberFormat="1" fontId="9" applyFont="1" fillId="11" applyFill="1" borderId="92" applyBorder="1" xfId="0" applyProtection="1" applyAlignment="1">
      <alignment horizontal="center" vertical="center" wrapText="1"/>
    </xf>
    <xf numFmtId="0" applyNumberFormat="1" fontId="9" applyFont="1" fillId="11" applyFill="1" borderId="93" applyBorder="1" xfId="0" applyProtection="1" applyAlignment="1">
      <alignment horizontal="center" vertical="center" wrapText="1"/>
    </xf>
    <xf numFmtId="0" applyNumberFormat="1" fontId="12" applyFont="1" fillId="0" applyFill="1" borderId="91" applyBorder="1" xfId="0" applyProtection="1" applyAlignment="1">
      <alignment horizontal="center" vertical="center"/>
    </xf>
    <xf numFmtId="0" applyNumberFormat="1" fontId="9" applyFont="1" fillId="0" applyFill="1" borderId="13" applyBorder="1" xfId="0" applyProtection="1" applyAlignment="1">
      <alignment horizontal="center" vertical="center"/>
    </xf>
    <xf numFmtId="0" applyNumberFormat="1" fontId="12" applyFont="1" fillId="0" applyFill="1" borderId="12" applyBorder="1" xfId="0" applyProtection="1" applyAlignment="1">
      <alignment horizontal="center" vertical="center"/>
    </xf>
    <xf numFmtId="0" applyNumberFormat="1" fontId="17" applyFont="1" fillId="12" applyFill="1" borderId="14" applyBorder="1" xfId="0" applyProtection="1" applyAlignment="1">
      <alignment vertical="center" wrapText="1"/>
    </xf>
    <xf numFmtId="0" applyNumberFormat="1" fontId="5" applyFont="1" fillId="13" applyFill="1" borderId="82" applyBorder="1" xfId="0" applyProtection="1" applyAlignment="1">
      <alignment horizontal="center" vertical="center"/>
    </xf>
    <xf numFmtId="2" applyNumberFormat="1" fontId="5" applyFont="1" fillId="13" applyFill="1" borderId="76" applyBorder="1" xfId="13" applyProtection="1" applyAlignment="1">
      <alignment horizontal="center" vertical="center"/>
    </xf>
    <xf numFmtId="0" applyNumberFormat="1" fontId="5" applyFont="1" fillId="13" applyFill="1" borderId="76" applyBorder="1" xfId="0" applyProtection="1" applyAlignment="1">
      <alignment horizontal="center" vertical="center"/>
    </xf>
    <xf numFmtId="0" applyNumberFormat="1" fontId="5" applyFont="1" fillId="14" applyFill="1" borderId="75" applyBorder="1" xfId="0" applyProtection="1" applyAlignment="1">
      <alignment horizontal="center" vertical="center"/>
    </xf>
    <xf numFmtId="4" applyNumberFormat="1" fontId="7" applyFont="1" fillId="13" applyFill="1" borderId="78" applyBorder="1" xfId="0" applyProtection="1" applyAlignment="1">
      <alignment horizontal="center" vertical="center"/>
    </xf>
    <xf numFmtId="4" applyNumberFormat="1" fontId="7" applyFont="1" fillId="13" applyFill="1" borderId="79" applyBorder="1" xfId="0" applyProtection="1" applyAlignment="1">
      <alignment horizontal="center" vertical="center" wrapText="1"/>
    </xf>
    <xf numFmtId="4" applyNumberFormat="1" fontId="7" applyFont="1" fillId="13" applyFill="1" borderId="79" applyBorder="1" xfId="0" applyProtection="1" applyAlignment="1">
      <alignment horizontal="center" vertical="center"/>
    </xf>
    <xf numFmtId="4" applyNumberFormat="1" fontId="7" applyFont="1" fillId="13" applyFill="1" borderId="80" applyBorder="1" xfId="0" applyProtection="1" applyAlignment="1">
      <alignment horizontal="center" vertical="center" wrapText="1"/>
    </xf>
    <xf numFmtId="4" applyNumberFormat="1" fontId="7" applyFont="1" fillId="13" applyFill="1" borderId="81" applyBorder="1" xfId="0" applyProtection="1" applyAlignment="1">
      <alignment horizontal="center" vertical="center"/>
    </xf>
    <xf numFmtId="4" applyNumberFormat="1" fontId="7" applyFont="1" fillId="13" applyFill="1" borderId="47" applyBorder="1" xfId="0" applyProtection="1" applyAlignment="1">
      <alignment horizontal="center" vertical="center" wrapText="1"/>
    </xf>
    <xf numFmtId="4" applyNumberFormat="1" fontId="7" applyFont="1" fillId="13" applyFill="1" borderId="47" applyBorder="1" xfId="0" quotePrefix="1" applyProtection="1" applyAlignment="1">
      <alignment horizontal="center" vertical="center"/>
    </xf>
    <xf numFmtId="4" applyNumberFormat="1" fontId="7" applyFont="1" fillId="13" applyFill="1" borderId="47" applyBorder="1" xfId="0" applyProtection="1" applyAlignment="1">
      <alignment horizontal="center" vertical="center"/>
    </xf>
    <xf numFmtId="4" applyNumberFormat="1" fontId="7" applyFont="1" fillId="13" applyFill="1" borderId="48" applyBorder="1" xfId="0" applyProtection="1" applyAlignment="1">
      <alignment horizontal="center" vertical="center"/>
    </xf>
    <xf numFmtId="4" applyNumberFormat="1" fontId="5" applyFont="1" fillId="13" applyFill="1" borderId="81" applyBorder="1" xfId="0" applyProtection="1" applyAlignment="1">
      <alignment horizontal="center" vertical="center"/>
    </xf>
    <xf numFmtId="4" applyNumberFormat="1" fontId="5" applyFont="1" fillId="13" applyFill="1" borderId="47" applyBorder="1" xfId="0" applyProtection="1" applyAlignment="1">
      <alignment horizontal="center" vertical="center"/>
    </xf>
    <xf numFmtId="4" applyNumberFormat="1" fontId="5" applyFont="1" fillId="13" applyFill="1" borderId="47" applyBorder="1" xfId="0" quotePrefix="1" applyProtection="1" applyAlignment="1">
      <alignment horizontal="center" vertical="center"/>
    </xf>
    <xf numFmtId="4" applyNumberFormat="1" fontId="5" applyFont="1" fillId="13" applyFill="1" borderId="48" applyBorder="1" xfId="0" applyProtection="1" applyAlignment="1">
      <alignment horizontal="center" vertical="center"/>
    </xf>
    <xf numFmtId="4" applyNumberFormat="1" fontId="15" applyFont="1" fillId="13" applyFill="1" borderId="75" applyBorder="1" xfId="0" applyProtection="1" applyAlignment="1">
      <alignment vertical="center"/>
    </xf>
    <xf numFmtId="164" applyNumberFormat="1" fontId="14" applyFont="1" fillId="13" applyFill="1" borderId="76" applyBorder="1" xfId="1" applyProtection="1" applyAlignment="1">
      <alignment horizontal="center" vertical="center"/>
    </xf>
    <xf numFmtId="164" applyNumberFormat="1" fontId="14" applyFont="1" fillId="13" applyFill="1" borderId="94" applyBorder="1" xfId="1" applyProtection="1" applyAlignment="1">
      <alignment horizontal="center" vertical="center"/>
    </xf>
    <xf numFmtId="10" applyNumberFormat="1" fontId="14" applyFont="1" fillId="13" applyFill="1" borderId="74" applyBorder="1" xfId="13" applyProtection="1" applyAlignment="1">
      <alignment horizontal="center" vertical="center"/>
    </xf>
    <xf numFmtId="165" applyNumberFormat="1" fontId="14" applyFont="1" fillId="13" applyFill="1" borderId="7" applyBorder="1" xfId="15" applyProtection="1" applyAlignment="1">
      <alignment horizontal="center" vertical="center" wrapText="1"/>
    </xf>
    <xf numFmtId="168" applyNumberFormat="1" fontId="4" applyFont="1" fillId="13" applyFill="1" borderId="7" applyBorder="1" xfId="1" applyProtection="1" applyAlignment="1">
      <alignment horizontal="center" vertical="center" wrapText="1"/>
    </xf>
    <xf numFmtId="0" applyNumberFormat="1" fontId="17" applyFont="1" fillId="13" applyFill="1" borderId="10" applyBorder="1" xfId="0" applyProtection="1" applyAlignment="1">
      <alignment horizontal="center" vertical="center" wrapText="1"/>
    </xf>
    <xf numFmtId="0" applyNumberFormat="1" fontId="16" applyFont="1" fillId="13" applyFill="1" borderId="10" applyBorder="1" xfId="0" applyProtection="1" applyAlignment="1">
      <alignment horizontal="center" vertical="center" wrapText="1"/>
    </xf>
    <xf numFmtId="4" applyNumberFormat="1" fontId="5" applyFont="1" fillId="13" applyFill="1" borderId="10" applyBorder="1" xfId="15" applyProtection="1" applyAlignment="1">
      <alignment horizontal="center" vertical="center" wrapText="1"/>
    </xf>
    <xf numFmtId="4" applyNumberFormat="1" fontId="5" applyFont="1" fillId="13" applyFill="1" borderId="11" applyBorder="1" xfId="15" applyProtection="1" applyAlignment="1">
      <alignment horizontal="center" vertical="center" wrapText="1"/>
    </xf>
    <xf numFmtId="10" applyNumberFormat="1" fontId="7" applyFont="1" fillId="5" applyFill="1" borderId="38" applyBorder="1" xfId="13" quotePrefix="1" applyProtection="1" applyAlignment="1">
      <alignment horizontal="center" vertical="center"/>
    </xf>
    <xf numFmtId="10" applyNumberFormat="1" fontId="7" applyFont="1" fillId="5" applyFill="1" borderId="35" applyBorder="1" xfId="13" applyProtection="1" applyAlignment="1">
      <alignment horizontal="center" vertical="center"/>
    </xf>
    <xf numFmtId="10" applyNumberFormat="1" fontId="7" applyFont="1" fillId="5" applyFill="1" borderId="36" applyBorder="1" xfId="13" applyProtection="1" applyAlignment="1">
      <alignment horizontal="center" vertical="center"/>
    </xf>
    <xf numFmtId="0" applyNumberFormat="1" fontId="17" applyFont="1" fillId="6" applyFill="1" borderId="13" applyBorder="1" xfId="0" quotePrefix="1" applyProtection="1" applyAlignment="1">
      <alignment horizontal="center" vertical="center" wrapText="1"/>
    </xf>
    <xf numFmtId="0" applyNumberFormat="1" fontId="17" applyFont="1" fillId="6" applyFill="1" borderId="13" applyBorder="1" xfId="0" applyProtection="1" applyAlignment="1">
      <alignment horizontal="center" vertical="center" wrapText="1"/>
    </xf>
    <xf numFmtId="0" applyNumberFormat="1" fontId="7" applyFont="1" fillId="2" applyFill="1" borderId="56" applyBorder="1" xfId="0" applyAlignment="1">
      <alignment horizontal="left" vertical="top" wrapText="1"/>
      <protection locked="0"/>
    </xf>
    <xf numFmtId="0" applyNumberFormat="1" fontId="7" applyFont="1" fillId="2" applyFill="1" borderId="54" applyBorder="1" xfId="0" applyAlignment="1">
      <alignment horizontal="left" vertical="top" wrapText="1"/>
      <protection locked="0"/>
    </xf>
    <xf numFmtId="0" applyNumberFormat="1" fontId="7" applyFont="1" fillId="2" applyFill="1" borderId="55" applyBorder="1" xfId="0" applyAlignment="1">
      <alignment horizontal="left" vertical="top" wrapText="1"/>
      <protection locked="0"/>
    </xf>
    <xf numFmtId="0" applyNumberFormat="1" fontId="7" applyFont="1" fillId="2" applyFill="1" borderId="50" applyBorder="1" xfId="0" applyAlignment="1">
      <alignment horizontal="left" vertical="top" wrapText="1"/>
      <protection locked="0"/>
    </xf>
    <xf numFmtId="0" applyNumberFormat="1" fontId="7" applyFont="1" fillId="2" applyFill="1" borderId="0" applyBorder="1" xfId="0" applyAlignment="1">
      <alignment horizontal="left" vertical="top" wrapText="1"/>
      <protection locked="0"/>
    </xf>
    <xf numFmtId="0" applyNumberFormat="1" fontId="7" applyFont="1" fillId="2" applyFill="1" borderId="58" applyBorder="1" xfId="0" applyAlignment="1">
      <alignment horizontal="left" vertical="top" wrapText="1"/>
      <protection locked="0"/>
    </xf>
    <xf numFmtId="0" applyNumberFormat="1" fontId="7" applyFont="1" fillId="2" applyFill="1" borderId="61" applyBorder="1" xfId="0" applyAlignment="1">
      <alignment horizontal="left" vertical="top" wrapText="1"/>
      <protection locked="0"/>
    </xf>
    <xf numFmtId="0" applyNumberFormat="1" fontId="7" applyFont="1" fillId="2" applyFill="1" borderId="27" applyBorder="1" xfId="0" applyAlignment="1">
      <alignment horizontal="left" vertical="top" wrapText="1"/>
      <protection locked="0"/>
    </xf>
    <xf numFmtId="0" applyNumberFormat="1" fontId="7" applyFont="1" fillId="2" applyFill="1" borderId="59" applyBorder="1" xfId="0" applyAlignment="1">
      <alignment horizontal="left" vertical="top" wrapText="1"/>
      <protection locked="0"/>
    </xf>
    <xf numFmtId="0" applyNumberFormat="1" fontId="7" applyFont="1" fillId="2" applyFill="1" borderId="45" applyBorder="1" xfId="0" applyAlignment="1">
      <alignment horizontal="left" vertical="top"/>
      <protection locked="0"/>
    </xf>
    <xf numFmtId="0" applyNumberFormat="1" fontId="7" applyFont="1" fillId="2" applyFill="1" borderId="57" applyBorder="1" xfId="0" applyAlignment="1">
      <alignment horizontal="left" vertical="top"/>
      <protection locked="0"/>
    </xf>
    <xf numFmtId="0" applyNumberFormat="1" fontId="7" applyFont="1" fillId="2" applyFill="1" borderId="35" applyBorder="1" xfId="0" applyAlignment="1">
      <alignment horizontal="left" vertical="top"/>
      <protection locked="0"/>
    </xf>
    <xf numFmtId="0" applyNumberFormat="1" fontId="7" applyFont="1" fillId="2" applyFill="1" borderId="46" applyBorder="1" xfId="0" applyAlignment="1">
      <alignment horizontal="left" vertical="top"/>
      <protection locked="0"/>
    </xf>
    <xf numFmtId="0" applyNumberFormat="1" fontId="17" applyFont="1" fillId="0" applyFill="1" borderId="12" applyBorder="1" xfId="0" applyProtection="1" applyAlignment="1">
      <alignment horizontal="center" vertical="center" wrapText="1"/>
    </xf>
    <xf numFmtId="0" applyNumberFormat="1" fontId="17" applyFont="1" fillId="0" applyFill="1" borderId="13" applyBorder="1" xfId="0" applyProtection="1" applyAlignment="1">
      <alignment horizontal="center" vertical="center" wrapText="1"/>
    </xf>
    <xf numFmtId="0" applyNumberFormat="1" fontId="12" applyFont="1" fillId="6" applyFill="1" borderId="13" applyBorder="1" xfId="0" applyProtection="1" applyAlignment="1">
      <alignment horizontal="center" vertical="center" wrapText="1"/>
    </xf>
    <xf numFmtId="0" applyNumberFormat="1" fontId="14" applyFont="1" fillId="0" applyFill="1" borderId="13" applyBorder="1" xfId="0" applyProtection="1" applyAlignment="1">
      <alignment horizontal="center" vertical="center"/>
    </xf>
    <xf numFmtId="0" applyNumberFormat="1" fontId="17" applyFont="1" fillId="0" applyFill="1" borderId="71" applyBorder="1" xfId="0" applyProtection="1" applyAlignment="1">
      <alignment horizontal="center" vertical="center" wrapText="1"/>
    </xf>
    <xf numFmtId="0" applyNumberFormat="1" fontId="17" applyFont="1" fillId="0" applyFill="1" borderId="7" applyBorder="1" xfId="0" applyProtection="1" applyAlignment="1">
      <alignment horizontal="center" vertical="center" wrapText="1"/>
    </xf>
    <xf numFmtId="0" applyNumberFormat="1" fontId="4" applyFont="1" fillId="2" applyFill="1" borderId="7" applyBorder="1" xfId="0" applyProtection="1" applyAlignment="1">
      <alignment horizontal="center" vertical="center"/>
    </xf>
    <xf numFmtId="0" applyNumberFormat="1" fontId="14" applyFont="1" fillId="0" applyFill="1" borderId="7" applyBorder="1" xfId="0" applyProtection="1" applyAlignment="1">
      <alignment horizontal="center" vertical="center" wrapText="1"/>
    </xf>
    <xf numFmtId="164" applyNumberFormat="1" fontId="4" applyFont="1" fillId="2" applyFill="1" borderId="7" applyBorder="1" xfId="1" applyProtection="1" applyAlignment="1">
      <alignment horizontal="center" vertical="center" wrapText="1"/>
    </xf>
    <xf numFmtId="0" applyNumberFormat="1" fontId="17" applyFont="1" fillId="0" applyFill="1" borderId="9" applyBorder="1" xfId="0" applyProtection="1" applyAlignment="1">
      <alignment horizontal="center" vertical="center" wrapText="1"/>
    </xf>
    <xf numFmtId="0" applyNumberFormat="1" fontId="17" applyFont="1" fillId="0" applyFill="1" borderId="10" applyBorder="1" xfId="0" applyProtection="1" applyAlignment="1">
      <alignment horizontal="center" vertical="center" wrapText="1"/>
    </xf>
    <xf numFmtId="0" applyNumberFormat="1" fontId="16" applyFont="1" fillId="6" applyFill="1" borderId="10" applyBorder="1" xfId="0" applyProtection="1" applyAlignment="1">
      <alignment horizontal="center" vertical="center" wrapText="1"/>
    </xf>
    <xf numFmtId="4" applyNumberFormat="1" fontId="5" applyFont="1" fillId="6" applyFill="1" borderId="10" applyBorder="1" xfId="15" applyProtection="1" applyAlignment="1">
      <alignment horizontal="center" vertical="center" wrapText="1"/>
    </xf>
    <xf numFmtId="0" applyNumberFormat="1" fontId="14" applyFont="1" fillId="0" applyFill="1" borderId="23" applyBorder="1" xfId="0" applyProtection="1" applyAlignment="1">
      <alignment horizontal="center" vertical="center" wrapText="1"/>
    </xf>
    <xf numFmtId="0" applyNumberFormat="1" fontId="14" applyFont="1" fillId="0" applyFill="1" borderId="24" applyBorder="1" xfId="0" applyProtection="1" applyAlignment="1">
      <alignment horizontal="center" vertical="center" wrapText="1"/>
    </xf>
    <xf numFmtId="0" applyNumberFormat="1" fontId="14" applyFont="1" fillId="0" applyFill="1" borderId="25" applyBorder="1" xfId="0" applyProtection="1" applyAlignment="1">
      <alignment horizontal="center" vertical="center" wrapText="1"/>
    </xf>
    <xf numFmtId="0" applyNumberFormat="1" fontId="7" applyFont="1" fillId="2" applyFill="1" borderId="60" applyBorder="1" xfId="0" applyAlignment="1">
      <alignment horizontal="left" vertical="top" wrapText="1"/>
      <protection locked="0"/>
    </xf>
    <xf numFmtId="0" applyNumberFormat="1" fontId="7" applyFont="1" fillId="2" applyFill="1" borderId="49" applyBorder="1" xfId="0" applyAlignment="1">
      <alignment horizontal="left" vertical="top" wrapText="1"/>
      <protection locked="0"/>
    </xf>
    <xf numFmtId="3" applyNumberFormat="1" fontId="4" applyFont="1" fillId="0" applyFill="1" borderId="65" applyBorder="1" xfId="0" applyProtection="1" applyAlignment="1">
      <alignment horizontal="center" vertical="center"/>
    </xf>
    <xf numFmtId="3" applyNumberFormat="1" fontId="4" applyFont="1" fillId="0" applyFill="1" borderId="66" applyBorder="1" xfId="0" applyProtection="1" applyAlignment="1">
      <alignment horizontal="center" vertical="center"/>
    </xf>
    <xf numFmtId="0" applyNumberFormat="1" fontId="7" applyFont="1" fillId="2" applyFill="1" borderId="42" applyBorder="1" xfId="0" applyAlignment="1">
      <alignment horizontal="left" vertical="top" wrapText="1"/>
      <protection locked="0"/>
    </xf>
    <xf numFmtId="0" applyNumberFormat="1" fontId="7" applyFont="1" fillId="2" applyFill="1" borderId="21" applyBorder="1" xfId="0" applyAlignment="1">
      <alignment horizontal="left" vertical="top"/>
      <protection locked="0"/>
    </xf>
    <xf numFmtId="0" applyNumberFormat="1" fontId="7" applyFont="1" fillId="2" applyFill="1" borderId="43" applyBorder="1" xfId="0" applyAlignment="1">
      <alignment horizontal="left" vertical="top"/>
      <protection locked="0"/>
    </xf>
    <xf numFmtId="10" applyNumberFormat="1" fontId="7" applyFont="1" fillId="2" applyFill="1" borderId="76" applyBorder="1" xfId="13" quotePrefix="1" applyProtection="1" applyAlignment="1">
      <alignment horizontal="center" vertical="center"/>
    </xf>
    <xf numFmtId="10" applyNumberFormat="1" fontId="7" applyFont="1" fillId="2" applyFill="1" borderId="73" applyBorder="1" xfId="13" applyProtection="1" applyAlignment="1">
      <alignment horizontal="center" vertical="center"/>
    </xf>
    <xf numFmtId="10" applyNumberFormat="1" fontId="7" applyFont="1" fillId="2" applyFill="1" borderId="74" applyBorder="1" xfId="13" applyProtection="1" applyAlignment="1">
      <alignment horizontal="center" vertical="center"/>
    </xf>
    <xf numFmtId="10" applyNumberFormat="1" fontId="7" applyFont="1" fillId="2" applyFill="1" borderId="38" applyBorder="1" xfId="13" quotePrefix="1" applyAlignment="1">
      <alignment horizontal="center" vertical="center"/>
      <protection locked="0"/>
    </xf>
    <xf numFmtId="10" applyNumberFormat="1" fontId="7" applyFont="1" fillId="2" applyFill="1" borderId="35" applyBorder="1" xfId="13" applyAlignment="1">
      <alignment horizontal="center" vertical="center"/>
      <protection locked="0"/>
    </xf>
    <xf numFmtId="10" applyNumberFormat="1" fontId="7" applyFont="1" fillId="2" applyFill="1" borderId="36" applyBorder="1" xfId="13" applyAlignment="1">
      <alignment horizontal="center" vertical="center"/>
      <protection locked="0"/>
    </xf>
    <xf numFmtId="10" applyNumberFormat="1" fontId="7" applyFont="1" fillId="2" applyFill="1" borderId="38" applyBorder="1" xfId="13" applyAlignment="1">
      <alignment horizontal="center" vertical="center"/>
      <protection locked="0"/>
    </xf>
    <xf numFmtId="0" applyNumberFormat="1" fontId="0" applyFont="1" fillId="0" applyFill="1" borderId="0" applyBorder="1" xfId="0" applyAlignment="1">
      <alignment horizontal="center" vertical="center"/>
      <protection locked="0"/>
    </xf>
    <xf numFmtId="0" applyNumberFormat="1" fontId="0" applyFont="1" fillId="0" applyFill="1" borderId="54" applyBorder="1" xfId="0" applyAlignment="1">
      <alignment horizontal="center" vertical="center"/>
      <protection locked="0"/>
    </xf>
    <xf numFmtId="0" applyNumberFormat="1" fontId="20" applyFont="1" fillId="0" applyFill="1" borderId="51" applyBorder="1" xfId="0" applyProtection="1" applyAlignment="1">
      <alignment horizontal="left" vertical="center"/>
    </xf>
    <xf numFmtId="0" applyNumberFormat="1" fontId="20" applyFont="1" fillId="0" applyFill="1" borderId="52" applyBorder="1" xfId="0" applyProtection="1" applyAlignment="1">
      <alignment horizontal="left" vertical="center"/>
    </xf>
    <xf numFmtId="0" applyNumberFormat="1" fontId="20" applyFont="1" fillId="0" applyFill="1" borderId="53" applyBorder="1" xfId="0" applyProtection="1" applyAlignment="1">
      <alignment horizontal="left" vertical="center"/>
    </xf>
    <xf numFmtId="0" applyNumberFormat="1" fontId="11" applyFont="1" fillId="2" applyFill="1" borderId="56" applyBorder="1" xfId="0" applyAlignment="1">
      <alignment horizontal="left" vertical="top" wrapText="1"/>
      <protection locked="0"/>
    </xf>
    <xf numFmtId="0" applyNumberFormat="1" fontId="11" applyFont="1" fillId="2" applyFill="1" borderId="54" applyBorder="1" xfId="0" applyAlignment="1">
      <alignment horizontal="left" vertical="top" wrapText="1"/>
      <protection locked="0"/>
    </xf>
    <xf numFmtId="0" applyNumberFormat="1" fontId="11" applyFont="1" fillId="2" applyFill="1" borderId="55" applyBorder="1" xfId="0" applyAlignment="1">
      <alignment horizontal="left" vertical="top" wrapText="1"/>
      <protection locked="0"/>
    </xf>
    <xf numFmtId="0" applyNumberFormat="1" fontId="11" applyFont="1" fillId="2" applyFill="1" borderId="50" applyBorder="1" xfId="0" applyAlignment="1">
      <alignment horizontal="left" vertical="top" wrapText="1"/>
      <protection locked="0"/>
    </xf>
    <xf numFmtId="0" applyNumberFormat="1" fontId="11" applyFont="1" fillId="2" applyFill="1" borderId="0" applyBorder="1" xfId="0" applyAlignment="1">
      <alignment horizontal="left" vertical="top" wrapText="1"/>
      <protection locked="0"/>
    </xf>
    <xf numFmtId="0" applyNumberFormat="1" fontId="11" applyFont="1" fillId="2" applyFill="1" borderId="58" applyBorder="1" xfId="0" applyAlignment="1">
      <alignment horizontal="left" vertical="top" wrapText="1"/>
      <protection locked="0"/>
    </xf>
    <xf numFmtId="0" applyNumberFormat="1" fontId="11" applyFont="1" fillId="2" applyFill="1" borderId="61" applyBorder="1" xfId="0" applyAlignment="1">
      <alignment horizontal="left" vertical="top" wrapText="1"/>
      <protection locked="0"/>
    </xf>
    <xf numFmtId="0" applyNumberFormat="1" fontId="11" applyFont="1" fillId="2" applyFill="1" borderId="27" applyBorder="1" xfId="0" applyAlignment="1">
      <alignment horizontal="left" vertical="top" wrapText="1"/>
      <protection locked="0"/>
    </xf>
    <xf numFmtId="0" applyNumberFormat="1" fontId="11" applyFont="1" fillId="2" applyFill="1" borderId="59" applyBorder="1" xfId="0" applyAlignment="1">
      <alignment horizontal="left" vertical="top" wrapText="1"/>
      <protection locked="0"/>
    </xf>
    <xf numFmtId="0" applyNumberFormat="1" fontId="11" applyFont="1" fillId="10" applyFill="1" borderId="50" applyBorder="1" xfId="0" applyAlignment="1">
      <alignment horizontal="center" vertical="top" wrapText="1"/>
      <protection locked="0"/>
    </xf>
    <xf numFmtId="0" applyNumberFormat="1" fontId="11" applyFont="1" fillId="2" applyFill="1" borderId="60" applyBorder="1" xfId="0" applyAlignment="1">
      <alignment horizontal="left" vertical="top" wrapText="1"/>
      <protection locked="0"/>
    </xf>
    <xf numFmtId="0" applyNumberFormat="1" fontId="11" applyFont="1" fillId="2" applyFill="1" borderId="49" applyBorder="1" xfId="0" applyAlignment="1">
      <alignment horizontal="left" vertical="top" wrapText="1"/>
      <protection locked="0"/>
    </xf>
    <xf numFmtId="0" applyNumberFormat="1" fontId="11" applyFont="1" fillId="2" applyFill="1" borderId="62" applyBorder="1" xfId="0" applyAlignment="1">
      <alignment horizontal="left" vertical="top" wrapText="1"/>
      <protection locked="0"/>
    </xf>
    <xf numFmtId="14" applyNumberFormat="1" fontId="9" applyFont="1" fillId="0" applyFill="1" borderId="45" applyBorder="1" xfId="0" applyProtection="1" applyAlignment="1">
      <alignment horizontal="center" vertical="center" wrapText="1"/>
    </xf>
    <xf numFmtId="14" applyNumberFormat="1" fontId="9" applyFont="1" fillId="0" applyFill="1" borderId="46" applyBorder="1" xfId="0" applyProtection="1" applyAlignment="1">
      <alignment horizontal="center" vertical="center" wrapText="1"/>
    </xf>
    <xf numFmtId="0" applyNumberFormat="1" fontId="9" applyFont="1" fillId="0" applyFill="1" borderId="47" applyBorder="1" xfId="0" applyProtection="1" applyAlignment="1">
      <alignment horizontal="center" vertical="center" wrapText="1"/>
    </xf>
    <xf numFmtId="0" applyNumberFormat="1" fontId="3" applyFont="1" fillId="0" applyFill="1" borderId="45" applyBorder="1" xfId="0" applyProtection="1" applyAlignment="1">
      <alignment horizontal="center" vertical="center"/>
    </xf>
    <xf numFmtId="0" applyNumberFormat="1" fontId="3" applyFont="1" fillId="0" applyFill="1" borderId="57" applyBorder="1" xfId="0" applyProtection="1" applyAlignment="1">
      <alignment horizontal="center" vertical="center"/>
    </xf>
    <xf numFmtId="0" applyNumberFormat="1" fontId="7" applyFont="1" fillId="2" applyFill="1" borderId="62" applyBorder="1" xfId="0" applyAlignment="1">
      <alignment horizontal="left" vertical="top" wrapText="1"/>
      <protection locked="0"/>
    </xf>
    <xf numFmtId="0" applyNumberFormat="1" fontId="5" applyFont="1" fillId="2" applyFill="1" borderId="45" applyBorder="1" xfId="0" applyAlignment="1">
      <alignment horizontal="center" vertical="center"/>
      <protection locked="0"/>
    </xf>
    <xf numFmtId="0" applyNumberFormat="1" fontId="5" applyFont="1" fillId="2" applyFill="1" borderId="35" applyBorder="1" xfId="0" applyAlignment="1">
      <alignment horizontal="center" vertical="center"/>
      <protection locked="0"/>
    </xf>
    <xf numFmtId="0" applyNumberFormat="1" fontId="5" applyFont="1" fillId="2" applyFill="1" borderId="46" applyBorder="1" xfId="0" applyAlignment="1">
      <alignment horizontal="center" vertical="center"/>
      <protection locked="0"/>
    </xf>
    <xf numFmtId="4" applyNumberFormat="1" fontId="15" applyFont="1" fillId="2" applyFill="1" borderId="47" applyBorder="1" xfId="0" applyProtection="1" applyAlignment="1">
      <alignment horizontal="center" vertical="center"/>
    </xf>
    <xf numFmtId="0" applyNumberFormat="1" fontId="18" applyFont="1" fillId="0" applyFill="1" borderId="2" applyBorder="1" xfId="0" applyProtection="1" applyAlignment="1">
      <alignment horizontal="center" vertical="center"/>
    </xf>
    <xf numFmtId="0" applyNumberFormat="1" fontId="18" applyFont="1" fillId="0" applyFill="1" borderId="3" applyBorder="1" xfId="0" applyProtection="1" applyAlignment="1">
      <alignment horizontal="center" vertical="center"/>
    </xf>
    <xf numFmtId="0" applyNumberFormat="1" fontId="5" applyFont="1" fillId="0" applyFill="1" borderId="4" applyBorder="1" xfId="0" applyProtection="1" applyAlignment="1">
      <alignment horizontal="center" vertical="center"/>
    </xf>
    <xf numFmtId="0" applyNumberFormat="1" fontId="5" applyFont="1" fillId="0" applyFill="1" borderId="5" applyBorder="1" xfId="0" applyProtection="1" applyAlignment="1">
      <alignment horizontal="center" vertical="center"/>
    </xf>
    <xf numFmtId="0" applyNumberFormat="1" fontId="21" applyFont="1" fillId="2" applyFill="1" borderId="6" applyBorder="1" xfId="0" applyProtection="1" applyAlignment="1">
      <alignment horizontal="center" vertical="center"/>
    </xf>
    <xf numFmtId="0" applyNumberFormat="1" fontId="21" applyFont="1" fillId="2" applyFill="1" borderId="5" applyBorder="1" xfId="0" applyProtection="1" applyAlignment="1">
      <alignment horizontal="center" vertical="center"/>
    </xf>
    <xf numFmtId="2" applyNumberFormat="1" fontId="5" applyFont="1" fillId="2" applyFill="1" borderId="6" applyBorder="1" xfId="13" applyProtection="1" applyAlignment="1">
      <alignment horizontal="center" vertical="center"/>
    </xf>
    <xf numFmtId="2" applyNumberFormat="1" fontId="5" applyFont="1" fillId="2" applyFill="1" borderId="5" applyBorder="1" xfId="13" applyProtection="1" applyAlignment="1">
      <alignment horizontal="center" vertical="center"/>
    </xf>
    <xf numFmtId="0" applyNumberFormat="1" fontId="5" applyFont="1" fillId="0" applyFill="1" borderId="7" applyBorder="1" xfId="0" applyProtection="1" applyAlignment="1">
      <alignment horizontal="center" vertical="center"/>
    </xf>
    <xf numFmtId="0" applyNumberFormat="1" fontId="5" applyFont="1" fillId="0" applyFill="1" borderId="8" applyBorder="1" xfId="0" applyProtection="1" applyAlignment="1">
      <alignment horizontal="center" vertical="center"/>
    </xf>
    <xf numFmtId="0" applyNumberFormat="1" fontId="5" applyFont="1" fillId="0" applyFill="1" borderId="6" applyBorder="1" xfId="0" applyProtection="1" applyAlignment="1">
      <alignment horizontal="center" vertical="center"/>
    </xf>
    <xf numFmtId="0" applyNumberFormat="1" fontId="5" applyFont="1" fillId="0" applyFill="1" borderId="63" applyBorder="1" xfId="0" applyProtection="1" applyAlignment="1">
      <alignment horizontal="center" vertical="center"/>
    </xf>
    <xf numFmtId="0" applyNumberFormat="1" fontId="0" applyFont="1" fillId="0" applyFill="1" borderId="1" applyBorder="1" xfId="0" applyProtection="1" applyAlignment="1">
      <alignment horizontal="center" vertical="center"/>
    </xf>
    <xf numFmtId="0" applyNumberFormat="1" fontId="0" applyFont="1" fillId="0" applyFill="1" borderId="2" applyBorder="1" xfId="0" applyProtection="1" applyAlignment="1">
      <alignment horizontal="center" vertical="center"/>
    </xf>
    <xf numFmtId="0" applyNumberFormat="1" fontId="18" applyFont="1" fillId="0" applyFill="1" borderId="2" applyBorder="1" xfId="0" applyAlignment="1">
      <alignment horizontal="center" vertical="center"/>
      <protection locked="0"/>
    </xf>
    <xf numFmtId="0" applyNumberFormat="1" fontId="5" applyFont="1" fillId="0" applyFill="1" borderId="9" applyBorder="1" xfId="0" applyProtection="1" applyAlignment="1">
      <alignment horizontal="center" vertical="center"/>
    </xf>
    <xf numFmtId="0" applyNumberFormat="1" fontId="5" applyFont="1" fillId="0" applyFill="1" borderId="10" applyBorder="1" xfId="0" applyProtection="1" applyAlignment="1">
      <alignment horizontal="center" vertical="center"/>
    </xf>
    <xf numFmtId="0" applyNumberFormat="1" fontId="5" applyFont="1" fillId="3" applyFill="1" borderId="10" applyBorder="1" xfId="0" applyAlignment="1">
      <alignment horizontal="center" vertical="center"/>
      <protection locked="0"/>
    </xf>
    <xf numFmtId="164" applyNumberFormat="1" fontId="11" applyFont="1" fillId="7" applyFill="1" borderId="47" applyBorder="1" xfId="1" applyProtection="1" applyAlignment="1">
      <alignment horizontal="center" vertical="center"/>
    </xf>
    <xf numFmtId="0" applyNumberFormat="1" fontId="10" applyFont="1" fillId="0" applyFill="1" borderId="45" applyBorder="1" xfId="0" applyProtection="1" applyAlignment="1">
      <alignment horizontal="left" vertical="center" wrapText="1"/>
    </xf>
    <xf numFmtId="0" applyNumberFormat="1" fontId="10" applyFont="1" fillId="0" applyFill="1" borderId="57" applyBorder="1" xfId="0" applyProtection="1" applyAlignment="1">
      <alignment horizontal="left" vertical="center" wrapText="1"/>
    </xf>
    <xf numFmtId="0" applyNumberFormat="1" fontId="9" applyFont="1" fillId="0" applyFill="1" borderId="47" applyBorder="1" xfId="0" applyProtection="1" applyAlignment="1">
      <alignment horizontal="center" vertical="center"/>
    </xf>
    <xf numFmtId="14" applyNumberFormat="1" fontId="22" applyFont="1" fillId="2" applyFill="1" borderId="45" applyBorder="1" xfId="0" applyProtection="1" applyAlignment="1">
      <alignment horizontal="center" vertical="center"/>
    </xf>
    <xf numFmtId="14" applyNumberFormat="1" fontId="22" applyFont="1" fillId="2" applyFill="1" borderId="46" applyBorder="1" xfId="0" applyProtection="1" applyAlignment="1">
      <alignment horizontal="center" vertical="center"/>
    </xf>
    <xf numFmtId="0" applyNumberFormat="1" fontId="11" applyFont="1" fillId="0" applyFill="1" borderId="56" applyBorder="1" xfId="0" applyAlignment="1">
      <alignment horizontal="left" vertical="top" wrapText="1"/>
      <protection locked="0"/>
    </xf>
    <xf numFmtId="0" applyNumberFormat="1" fontId="11" applyFont="1" fillId="0" applyFill="1" borderId="54" applyBorder="1" xfId="0" applyAlignment="1">
      <alignment horizontal="left" vertical="top" wrapText="1"/>
      <protection locked="0"/>
    </xf>
    <xf numFmtId="0" applyNumberFormat="1" fontId="11" applyFont="1" fillId="0" applyFill="1" borderId="60" applyBorder="1" xfId="0" applyAlignment="1">
      <alignment horizontal="left" vertical="top" wrapText="1"/>
      <protection locked="0"/>
    </xf>
    <xf numFmtId="0" applyNumberFormat="1" fontId="11" applyFont="1" fillId="0" applyFill="1" borderId="61" applyBorder="1" xfId="0" applyAlignment="1">
      <alignment horizontal="left" vertical="top" wrapText="1"/>
      <protection locked="0"/>
    </xf>
    <xf numFmtId="0" applyNumberFormat="1" fontId="11" applyFont="1" fillId="0" applyFill="1" borderId="27" applyBorder="1" xfId="0" applyAlignment="1">
      <alignment horizontal="left" vertical="top" wrapText="1"/>
      <protection locked="0"/>
    </xf>
    <xf numFmtId="0" applyNumberFormat="1" fontId="11" applyFont="1" fillId="0" applyFill="1" borderId="62" applyBorder="1" xfId="0" applyAlignment="1">
      <alignment horizontal="left" vertical="top" wrapText="1"/>
      <protection locked="0"/>
    </xf>
    <xf numFmtId="2" applyNumberFormat="1" fontId="5" applyFont="1" fillId="2" applyFill="1" borderId="10" applyBorder="1" xfId="13" applyProtection="1" applyAlignment="1">
      <alignment horizontal="center" vertical="center"/>
    </xf>
    <xf numFmtId="0" applyNumberFormat="1" fontId="5" applyFont="1" fillId="0" applyFill="1" borderId="11" applyBorder="1" xfId="0" applyProtection="1" applyAlignment="1">
      <alignment horizontal="center" vertical="center"/>
    </xf>
    <xf numFmtId="2" applyNumberFormat="1" fontId="5" applyFont="1" fillId="2" applyFill="1" borderId="13" applyBorder="1" xfId="13" applyProtection="1" applyAlignment="1">
      <alignment horizontal="center" vertical="center"/>
    </xf>
    <xf numFmtId="2" applyNumberFormat="1" fontId="5" applyFont="1" fillId="2" applyFill="1" borderId="14" applyBorder="1" xfId="13" applyProtection="1" applyAlignment="1">
      <alignment horizontal="center" vertical="center"/>
    </xf>
    <xf numFmtId="0" applyNumberFormat="1" fontId="5" applyFont="1" fillId="0" applyFill="1" borderId="15" applyBorder="1" xfId="0" applyProtection="1" applyAlignment="1">
      <alignment horizontal="center" vertical="center" wrapText="1"/>
    </xf>
    <xf numFmtId="0" applyNumberFormat="1" fontId="5" applyFont="1" fillId="0" applyFill="1" borderId="16" applyBorder="1" xfId="0" applyProtection="1" applyAlignment="1">
      <alignment horizontal="center" vertical="center" wrapText="1"/>
    </xf>
    <xf numFmtId="0" applyNumberFormat="1" fontId="5" applyFont="1" fillId="0" applyFill="1" borderId="17" applyBorder="1" xfId="0" applyProtection="1" applyAlignment="1">
      <alignment horizontal="center" vertical="center" wrapText="1"/>
    </xf>
    <xf numFmtId="0" applyNumberFormat="1" fontId="9" applyFont="1" fillId="0" applyFill="1" borderId="18" applyBorder="1" xfId="0" applyProtection="1" applyAlignment="1">
      <alignment horizontal="center" vertical="center"/>
    </xf>
    <xf numFmtId="0" applyNumberFormat="1" fontId="9" applyFont="1" fillId="0" applyFill="1" borderId="19" applyBorder="1" xfId="0" applyProtection="1" applyAlignment="1">
      <alignment horizontal="center" vertical="center"/>
    </xf>
    <xf numFmtId="0" applyNumberFormat="1" fontId="9" applyFont="1" fillId="0" applyFill="1" borderId="9" applyBorder="1" xfId="0" applyProtection="1" applyAlignment="1">
      <alignment horizontal="center" vertical="center"/>
    </xf>
    <xf numFmtId="0" applyNumberFormat="1" fontId="9" applyFont="1" fillId="0" applyFill="1" borderId="10" applyBorder="1" xfId="0" applyProtection="1" applyAlignment="1">
      <alignment horizontal="center" vertical="center"/>
    </xf>
    <xf numFmtId="0" applyNumberFormat="1" fontId="14" applyFont="1" fillId="4" applyFill="1" borderId="23" applyBorder="1" xfId="0" quotePrefix="1" applyProtection="1" applyAlignment="1">
      <alignment horizontal="center" vertical="center" wrapText="1"/>
    </xf>
    <xf numFmtId="0" applyNumberFormat="1" fontId="14" applyFont="1" fillId="4" applyFill="1" borderId="24" applyBorder="1" xfId="0" applyProtection="1" applyAlignment="1">
      <alignment horizontal="center" vertical="center" wrapText="1"/>
    </xf>
    <xf numFmtId="0" applyNumberFormat="1" fontId="14" applyFont="1" fillId="4" applyFill="1" borderId="25" applyBorder="1" xfId="0" applyProtection="1" applyAlignment="1">
      <alignment horizontal="center" vertical="center" wrapText="1"/>
    </xf>
    <xf numFmtId="4" applyNumberFormat="1" fontId="7" applyFont="1" fillId="2" applyFill="1" borderId="67" applyBorder="1" xfId="0" applyProtection="1" applyAlignment="1">
      <alignment horizontal="center" vertical="center"/>
    </xf>
    <xf numFmtId="4" applyNumberFormat="1" fontId="7" applyFont="1" fillId="2" applyFill="1" borderId="68" applyBorder="1" xfId="0" applyProtection="1" applyAlignment="1">
      <alignment horizontal="center" vertical="center"/>
    </xf>
    <xf numFmtId="4" applyNumberFormat="1" fontId="7" applyFont="1" fillId="2" applyFill="1" borderId="69" applyBorder="1" xfId="0" applyProtection="1" applyAlignment="1">
      <alignment horizontal="center" vertical="center"/>
    </xf>
    <xf numFmtId="4" applyNumberFormat="1" fontId="7" applyFont="1" fillId="2" applyFill="1" borderId="30" applyBorder="1" xfId="0" applyProtection="1" applyAlignment="1">
      <alignment horizontal="center" vertical="center"/>
    </xf>
    <xf numFmtId="4" applyNumberFormat="1" fontId="7" applyFont="1" fillId="2" applyFill="1" borderId="31" applyBorder="1" xfId="0" applyProtection="1" applyAlignment="1">
      <alignment horizontal="center" vertical="center"/>
    </xf>
    <xf numFmtId="0" applyNumberFormat="1" fontId="7" applyFont="1" fillId="2" applyFill="1" borderId="44" applyBorder="1" xfId="0" applyAlignment="1">
      <alignment horizontal="left" vertical="top" wrapText="1"/>
      <protection locked="0"/>
    </xf>
    <xf numFmtId="0" applyNumberFormat="1" fontId="5" applyFont="1" fillId="0" applyFill="1" borderId="42" applyBorder="1" xfId="0" applyProtection="1" applyAlignment="1">
      <alignment horizontal="center" vertical="center" wrapText="1"/>
    </xf>
    <xf numFmtId="0" applyNumberFormat="1" fontId="5" applyFont="1" fillId="0" applyFill="1" borderId="21" applyBorder="1" xfId="0" applyProtection="1" applyAlignment="1">
      <alignment horizontal="center" vertical="center" wrapText="1"/>
    </xf>
    <xf numFmtId="0" applyNumberFormat="1" fontId="5" applyFont="1" fillId="0" applyFill="1" borderId="44" applyBorder="1" xfId="0" applyProtection="1" applyAlignment="1">
      <alignment horizontal="center" vertical="center" wrapText="1"/>
    </xf>
    <xf numFmtId="0" applyNumberFormat="1" fontId="5" applyFont="1" fillId="0" applyFill="1" borderId="0" applyBorder="1" xfId="0" applyProtection="1" applyAlignment="1">
      <alignment horizontal="center" vertical="center" wrapText="1"/>
    </xf>
    <xf numFmtId="0" applyNumberFormat="1" fontId="5" applyFont="1" fillId="0" applyFill="1" borderId="51" applyBorder="1" xfId="0" applyProtection="1" applyAlignment="1">
      <alignment horizontal="center" vertical="center" wrapText="1"/>
    </xf>
    <xf numFmtId="0" applyNumberFormat="1" fontId="5" applyFont="1" fillId="0" applyFill="1" borderId="52" applyBorder="1" xfId="0" applyProtection="1" applyAlignment="1">
      <alignment horizontal="center" vertical="center" wrapText="1"/>
    </xf>
    <xf numFmtId="0" applyNumberFormat="1" fontId="7" applyFont="1" fillId="2" applyFill="1" borderId="51" applyBorder="1" xfId="0" applyAlignment="1">
      <alignment horizontal="left" vertical="top" wrapText="1"/>
      <protection locked="0"/>
    </xf>
    <xf numFmtId="0" applyNumberFormat="1" fontId="7" applyFont="1" fillId="2" applyFill="1" borderId="52" applyBorder="1" xfId="0" applyAlignment="1">
      <alignment horizontal="left" vertical="top" wrapText="1"/>
      <protection locked="0"/>
    </xf>
    <xf numFmtId="0" applyNumberFormat="1" fontId="7" applyFont="1" fillId="2" applyFill="1" borderId="53" applyBorder="1" xfId="0" applyAlignment="1">
      <alignment horizontal="left" vertical="top" wrapText="1"/>
      <protection locked="0"/>
    </xf>
    <xf numFmtId="0" applyNumberFormat="1" fontId="5" applyFont="1" fillId="0" applyFill="1" borderId="42" applyBorder="1" xfId="0" applyAlignment="1">
      <alignment horizontal="left" vertical="center"/>
      <protection locked="0"/>
    </xf>
    <xf numFmtId="0" applyNumberFormat="1" fontId="5" applyFont="1" fillId="0" applyFill="1" borderId="21" applyBorder="1" xfId="0" applyAlignment="1">
      <alignment horizontal="left" vertical="center"/>
      <protection locked="0"/>
    </xf>
    <xf numFmtId="0" applyNumberFormat="1" fontId="5" applyFont="1" fillId="0" applyFill="1" borderId="43" applyBorder="1" xfId="0" applyAlignment="1">
      <alignment horizontal="left" vertical="center"/>
      <protection locked="0"/>
    </xf>
    <xf numFmtId="167" applyNumberFormat="1" fontId="21" applyFont="1" fillId="2" applyFill="1" borderId="10" applyBorder="1" xfId="1" applyProtection="1" applyAlignment="1">
      <alignment horizontal="center" vertical="center"/>
    </xf>
    <xf numFmtId="167" applyNumberFormat="1" fontId="21" applyFont="1" fillId="2" applyFill="1" borderId="11" applyBorder="1" xfId="1" applyProtection="1" applyAlignment="1">
      <alignment horizontal="center" vertical="center"/>
    </xf>
    <xf numFmtId="0" applyNumberFormat="1" fontId="5" applyFont="1" fillId="2" applyFill="1" borderId="23" applyBorder="1" xfId="0" applyProtection="1" applyAlignment="1">
      <alignment horizontal="center" vertical="center"/>
    </xf>
    <xf numFmtId="0" applyNumberFormat="1" fontId="5" applyFont="1" fillId="2" applyFill="1" borderId="25" applyBorder="1" xfId="0" applyProtection="1" applyAlignment="1">
      <alignment horizontal="center" vertical="center"/>
    </xf>
    <xf numFmtId="0" applyNumberFormat="1" fontId="5" applyFont="1" fillId="2" applyFill="1" borderId="24" applyBorder="1" xfId="0" applyProtection="1" applyAlignment="1">
      <alignment horizontal="center" vertical="center"/>
    </xf>
    <xf numFmtId="0" applyNumberFormat="1" fontId="19" applyFont="1" fillId="2" applyFill="1" borderId="10" applyBorder="1" xfId="0" applyAlignment="1">
      <alignment horizontal="left" vertical="center" wrapText="1"/>
      <protection locked="0"/>
    </xf>
    <xf numFmtId="4" applyNumberFormat="1" fontId="7" applyFont="1" fillId="2" applyFill="1" borderId="38" applyBorder="1" xfId="0" quotePrefix="1" applyProtection="1" applyAlignment="1">
      <alignment horizontal="center" vertical="center"/>
    </xf>
    <xf numFmtId="4" applyNumberFormat="1" fontId="7" applyFont="1" fillId="2" applyFill="1" borderId="35" applyBorder="1" xfId="0" applyProtection="1" applyAlignment="1">
      <alignment horizontal="center" vertical="center"/>
    </xf>
    <xf numFmtId="4" applyNumberFormat="1" fontId="7" applyFont="1" fillId="2" applyFill="1" borderId="36" applyBorder="1" xfId="0" applyProtection="1" applyAlignment="1">
      <alignment horizontal="center" vertical="center"/>
    </xf>
    <xf numFmtId="4" applyNumberFormat="1" fontId="7" applyFont="1" fillId="5" applyFill="1" borderId="38" applyBorder="1" xfId="15" quotePrefix="1" applyProtection="1" applyAlignment="1">
      <alignment horizontal="center" vertical="center"/>
    </xf>
    <xf numFmtId="4" applyNumberFormat="1" fontId="7" applyFont="1" fillId="5" applyFill="1" borderId="35" applyBorder="1" xfId="15" applyProtection="1" applyAlignment="1">
      <alignment horizontal="center" vertical="center"/>
    </xf>
    <xf numFmtId="4" applyNumberFormat="1" fontId="7" applyFont="1" fillId="5" applyFill="1" borderId="36" applyBorder="1" xfId="15" applyProtection="1" applyAlignment="1">
      <alignment horizontal="center" vertical="center"/>
    </xf>
    <xf numFmtId="0" applyNumberFormat="1" fontId="0" applyFont="1" fillId="0" applyFill="1" borderId="20" applyBorder="1" xfId="0" applyProtection="1" applyAlignment="1">
      <alignment horizontal="center" vertical="center" wrapText="1"/>
    </xf>
    <xf numFmtId="0" applyNumberFormat="1" fontId="0" applyFont="1" fillId="0" applyFill="1" borderId="21" applyBorder="1" xfId="0" applyProtection="1" applyAlignment="1">
      <alignment horizontal="center" vertical="center" wrapText="1"/>
    </xf>
    <xf numFmtId="0" applyNumberFormat="1" fontId="0" applyFont="1" fillId="0" applyFill="1" borderId="22" applyBorder="1" xfId="0" applyProtection="1" applyAlignment="1">
      <alignment horizontal="center" vertical="center" wrapText="1"/>
    </xf>
    <xf numFmtId="0" applyNumberFormat="1" fontId="5" applyFont="1" fillId="0" applyFill="1" borderId="12" applyBorder="1" xfId="0" applyProtection="1" applyAlignment="1">
      <alignment horizontal="center" vertical="center"/>
    </xf>
    <xf numFmtId="0" applyNumberFormat="1" fontId="5" applyFont="1" fillId="0" applyFill="1" borderId="13" applyBorder="1" xfId="0" applyProtection="1" applyAlignment="1">
      <alignment horizontal="center" vertical="center"/>
    </xf>
    <xf numFmtId="0" applyNumberFormat="1" fontId="19" applyFont="1" fillId="2" applyFill="1" borderId="13" applyBorder="1" xfId="0" applyAlignment="1">
      <alignment horizontal="left" vertical="center" wrapText="1"/>
      <protection locked="0"/>
    </xf>
    <xf numFmtId="49" applyNumberFormat="1" fontId="5" applyFont="1" fillId="2" applyFill="1" borderId="10" applyBorder="1" xfId="0" applyProtection="1" applyAlignment="1">
      <alignment horizontal="center" vertical="center"/>
    </xf>
    <xf numFmtId="49" applyNumberFormat="1" fontId="5" applyFont="1" fillId="2" applyFill="1" borderId="11" applyBorder="1" xfId="0" applyProtection="1" applyAlignment="1">
      <alignment horizontal="center" vertical="center"/>
    </xf>
    <xf numFmtId="0" applyNumberFormat="1" fontId="19" applyFont="1" fillId="13" applyFill="1" borderId="10" applyBorder="1" xfId="0" applyAlignment="1">
      <alignment horizontal="left" vertical="center" wrapText="1"/>
      <protection locked="0"/>
    </xf>
    <xf numFmtId="0" applyNumberFormat="1" fontId="19" applyFont="1" fillId="13" applyFill="1" borderId="13" applyBorder="1" xfId="0" applyAlignment="1">
      <alignment horizontal="left" vertical="center" wrapText="1"/>
      <protection locked="0"/>
    </xf>
    <xf numFmtId="0" applyNumberFormat="1" fontId="5" applyFont="1" fillId="0" applyFill="1" borderId="30" applyBorder="1" xfId="0" applyProtection="1" applyAlignment="1">
      <alignment horizontal="center" vertical="center"/>
    </xf>
    <xf numFmtId="0" applyNumberFormat="1" fontId="5" applyFont="1" fillId="0" applyFill="1" borderId="88" applyBorder="1" xfId="0" applyProtection="1" applyAlignment="1">
      <alignment horizontal="center" vertical="center"/>
    </xf>
    <xf numFmtId="2" applyNumberFormat="1" fontId="5" applyFont="1" fillId="13" applyFill="1" borderId="89" applyBorder="1" xfId="13" applyProtection="1" applyAlignment="1">
      <alignment horizontal="center" vertical="center"/>
    </xf>
    <xf numFmtId="2" applyNumberFormat="1" fontId="5" applyFont="1" fillId="13" applyFill="1" borderId="90" applyBorder="1" xfId="13" applyProtection="1" applyAlignment="1">
      <alignment horizontal="center" vertical="center"/>
    </xf>
    <xf numFmtId="0" applyNumberFormat="1" fontId="17" applyFont="1" fillId="0" applyFill="1" borderId="4" applyBorder="1" xfId="0" applyProtection="1" applyAlignment="1">
      <alignment horizontal="center" vertical="center" wrapText="1"/>
    </xf>
    <xf numFmtId="0" applyNumberFormat="1" fontId="17" applyFont="1" fillId="0" applyFill="1" borderId="5" applyBorder="1" xfId="0" applyProtection="1" applyAlignment="1">
      <alignment horizontal="center" vertical="center" wrapText="1"/>
    </xf>
    <xf numFmtId="0" applyNumberFormat="1" fontId="4" applyFont="1" fillId="13" applyFill="1" borderId="6" applyBorder="1" xfId="0" applyProtection="1" applyAlignment="1">
      <alignment horizontal="center" vertical="center"/>
    </xf>
    <xf numFmtId="0" applyNumberFormat="1" fontId="4" applyFont="1" fillId="13" applyFill="1" borderId="5" applyBorder="1" xfId="0" applyProtection="1" applyAlignment="1">
      <alignment horizontal="center" vertical="center"/>
    </xf>
    <xf numFmtId="0" applyNumberFormat="1" fontId="7" applyFont="1" fillId="13" applyFill="1" borderId="42" applyBorder="1" xfId="0" applyAlignment="1">
      <alignment horizontal="left" vertical="top" wrapText="1"/>
      <protection locked="0"/>
    </xf>
    <xf numFmtId="0" applyNumberFormat="1" fontId="7" applyFont="1" fillId="13" applyFill="1" borderId="21" applyBorder="1" xfId="0" applyAlignment="1">
      <alignment horizontal="left" vertical="top" wrapText="1"/>
      <protection locked="0"/>
    </xf>
    <xf numFmtId="0" applyNumberFormat="1" fontId="7" applyFont="1" fillId="13" applyFill="1" borderId="43" applyBorder="1" xfId="0" applyAlignment="1">
      <alignment horizontal="left" vertical="top" wrapText="1"/>
      <protection locked="0"/>
    </xf>
    <xf numFmtId="0" applyNumberFormat="1" fontId="7" applyFont="1" fillId="13" applyFill="1" borderId="44" applyBorder="1" xfId="0" applyAlignment="1">
      <alignment horizontal="left" vertical="top" wrapText="1"/>
      <protection locked="0"/>
    </xf>
    <xf numFmtId="0" applyNumberFormat="1" fontId="7" applyFont="1" fillId="13" applyFill="1" borderId="0" applyBorder="1" xfId="0" applyAlignment="1">
      <alignment horizontal="left" vertical="top" wrapText="1"/>
      <protection locked="0"/>
    </xf>
    <xf numFmtId="0" applyNumberFormat="1" fontId="7" applyFont="1" fillId="13" applyFill="1" borderId="49" applyBorder="1" xfId="0" applyAlignment="1">
      <alignment horizontal="left" vertical="top" wrapText="1"/>
      <protection locked="0"/>
    </xf>
    <xf numFmtId="0" applyNumberFormat="1" fontId="7" applyFont="1" fillId="13" applyFill="1" borderId="51" applyBorder="1" xfId="0" applyAlignment="1">
      <alignment horizontal="left" vertical="top" wrapText="1"/>
      <protection locked="0"/>
    </xf>
    <xf numFmtId="0" applyNumberFormat="1" fontId="7" applyFont="1" fillId="13" applyFill="1" borderId="52" applyBorder="1" xfId="0" applyAlignment="1">
      <alignment horizontal="left" vertical="top" wrapText="1"/>
      <protection locked="0"/>
    </xf>
    <xf numFmtId="0" applyNumberFormat="1" fontId="7" applyFont="1" fillId="13" applyFill="1" borderId="53" applyBorder="1" xfId="0" applyAlignment="1">
      <alignment horizontal="left" vertical="top" wrapText="1"/>
      <protection locked="0"/>
    </xf>
    <xf numFmtId="167" applyNumberFormat="1" fontId="5" applyFont="1" fillId="13" applyFill="1" borderId="76" applyBorder="1" xfId="1" applyProtection="1" applyAlignment="1">
      <alignment horizontal="center" vertical="center"/>
    </xf>
    <xf numFmtId="167" applyNumberFormat="1" fontId="5" applyFont="1" fillId="13" applyFill="1" borderId="87" applyBorder="1" xfId="1" applyProtection="1" applyAlignment="1">
      <alignment horizontal="center" vertical="center"/>
    </xf>
    <xf numFmtId="0" applyNumberFormat="1" fontId="5" applyFont="1" fillId="0" applyFill="1" borderId="82" applyBorder="1" xfId="0" applyProtection="1" applyAlignment="1">
      <alignment horizontal="center" vertical="center"/>
    </xf>
    <xf numFmtId="0" applyNumberFormat="1" fontId="5" applyFont="1" fillId="0" applyFill="1" borderId="86" applyBorder="1" xfId="0" applyProtection="1" applyAlignment="1">
      <alignment horizontal="center" vertical="center"/>
    </xf>
    <xf numFmtId="2" applyNumberFormat="1" fontId="5" applyFont="1" fillId="0" applyFill="1" borderId="82" applyBorder="1" xfId="13" applyProtection="1" applyAlignment="1">
      <alignment horizontal="center" vertical="center"/>
    </xf>
    <xf numFmtId="2" applyNumberFormat="1" fontId="5" applyFont="1" fillId="0" applyFill="1" borderId="83" applyBorder="1" xfId="13" applyProtection="1" applyAlignment="1">
      <alignment horizontal="center" vertical="center"/>
    </xf>
    <xf numFmtId="0" applyNumberFormat="1" fontId="5" applyFont="1" fillId="14" applyFill="1" borderId="76" applyBorder="1" xfId="0" applyProtection="1" applyAlignment="1">
      <alignment horizontal="center" vertical="center"/>
    </xf>
    <xf numFmtId="0" applyNumberFormat="1" fontId="5" applyFont="1" fillId="14" applyFill="1" borderId="74" applyBorder="1" xfId="0" applyProtection="1" applyAlignment="1">
      <alignment horizontal="center" vertical="center"/>
    </xf>
    <xf numFmtId="0" applyNumberFormat="1" fontId="5" applyFont="1" fillId="0" applyFill="1" borderId="53" applyBorder="1" xfId="0" applyProtection="1" applyAlignment="1">
      <alignment horizontal="center" vertical="center" wrapText="1"/>
    </xf>
    <xf numFmtId="49" applyNumberFormat="1" fontId="5" applyFont="1" fillId="14" applyFill="1" borderId="76" applyBorder="1" xfId="0" applyProtection="1" applyAlignment="1">
      <alignment horizontal="center" vertical="center"/>
    </xf>
    <xf numFmtId="49" applyNumberFormat="1" fontId="5" applyFont="1" fillId="14" applyFill="1" borderId="87" applyBorder="1" xfId="0" applyProtection="1" applyAlignment="1">
      <alignment horizontal="center" vertical="center"/>
    </xf>
  </cellXfs>
  <cellStyles count="18">
    <cellStyle name="Moeda" xfId="1" builtinId="4"/>
    <cellStyle name="Moeda 2" xfId="2"/>
    <cellStyle name="Moeda 3" xfId="3"/>
    <cellStyle name="Normal" xfId="0" builtinId="0"/>
    <cellStyle name="Normal 11" xfId="4"/>
    <cellStyle name="Normal 2" xfId="5"/>
    <cellStyle name="Normal 2 2" xfId="6"/>
    <cellStyle name="Normal 2 2 2" xfId="7"/>
    <cellStyle name="Normal 3" xfId="8"/>
    <cellStyle name="Normal 3 2 12 2 5 4 6 2 3 2" xfId="9"/>
    <cellStyle name="Normal 4" xfId="10"/>
    <cellStyle name="Normal 4 2" xfId="11"/>
    <cellStyle name="Normal 7" xfId="12"/>
    <cellStyle name="Porcentagem" xfId="13" builtinId="5"/>
    <cellStyle name="Porcentagem 2" xfId="14"/>
    <cellStyle name="Vírgula" xfId="15" builtinId="3"/>
    <cellStyle name="Vírgula 2" xfId="16"/>
    <cellStyle name="Vírgula 3" xfId="17"/>
  </cellStyles>
  <dxfs count="21"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</dxfs>
  <tableStyles count="0" defaultTableStyle="TableStyleMedium2" defaultPivotStyle="PivotStyleLight16"/>
  <colors>
    <mruColors>
      <color rgb="FFFFFFCC"/>
      <color rgb="FF6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externalLink" Target="externalLinks/externalLink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952500</xdr:colOff>
      <xdr:row>31</xdr:row>
      <xdr:rowOff>200025</xdr:rowOff>
    </xdr:from>
    <xdr:to>
      <xdr:col>9</xdr:col>
      <xdr:colOff>923925</xdr:colOff>
      <xdr:row>34</xdr:row>
      <xdr:rowOff>85725</xdr:rowOff>
    </xdr:to>
    <xdr:sp macro="" textlink="">
      <xdr:nvSpPr>
        <xdr:cNvPr id="2" name="Text Box 214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5463260" y="7574736"/>
          <a:ext cx="1587789" cy="206693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APROVADOR SUP: </a:t>
          </a:r>
        </a:p>
      </xdr:txBody>
    </xdr:sp>
    <xdr:clientData/>
  </xdr:twoCellAnchor>
  <xdr:twoCellAnchor editAs="absolute">
    <xdr:from>
      <xdr:col>8</xdr:col>
      <xdr:colOff>952500</xdr:colOff>
      <xdr:row>30</xdr:row>
      <xdr:rowOff>142875</xdr:rowOff>
    </xdr:from>
    <xdr:to>
      <xdr:col>9</xdr:col>
      <xdr:colOff>923925</xdr:colOff>
      <xdr:row>31</xdr:row>
      <xdr:rowOff>123825</xdr:rowOff>
    </xdr:to>
    <xdr:sp macro="" textlink="">
      <xdr:nvSpPr>
        <xdr:cNvPr id="3" name="Text Box 215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463260" y="7304067"/>
          <a:ext cx="1587789" cy="194469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GERÊNCIA SUP: </a:t>
          </a:r>
        </a:p>
      </xdr:txBody>
    </xdr:sp>
    <xdr:clientData/>
  </xdr:twoCellAnchor>
  <xdr:twoCellAnchor editAs="absolute">
    <xdr:from>
      <xdr:col>8</xdr:col>
      <xdr:colOff>952500</xdr:colOff>
      <xdr:row>35</xdr:row>
      <xdr:rowOff>171450</xdr:rowOff>
    </xdr:from>
    <xdr:to>
      <xdr:col>9</xdr:col>
      <xdr:colOff>923925</xdr:colOff>
      <xdr:row>37</xdr:row>
      <xdr:rowOff>19050</xdr:rowOff>
    </xdr:to>
    <xdr:sp macro="" textlink="">
      <xdr:nvSpPr>
        <xdr:cNvPr id="4" name="Text Box 220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463260" y="8086704"/>
          <a:ext cx="1587789" cy="225714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SOLICITANTE CLIENTE: </a:t>
          </a:r>
        </a:p>
      </xdr:txBody>
    </xdr:sp>
    <xdr:clientData/>
  </xdr:twoCellAnchor>
  <xdr:twoCellAnchor editAs="absolute">
    <xdr:from>
      <xdr:col>8</xdr:col>
      <xdr:colOff>952500</xdr:colOff>
      <xdr:row>34</xdr:row>
      <xdr:rowOff>142875</xdr:rowOff>
    </xdr:from>
    <xdr:to>
      <xdr:col>9</xdr:col>
      <xdr:colOff>923925</xdr:colOff>
      <xdr:row>35</xdr:row>
      <xdr:rowOff>114300</xdr:rowOff>
    </xdr:to>
    <xdr:sp macro="" textlink="">
      <xdr:nvSpPr>
        <xdr:cNvPr id="5" name="Text Box 221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463260" y="7831911"/>
          <a:ext cx="1587882" cy="206693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GERÊNCIA CLIENTE: </a:t>
          </a:r>
        </a:p>
      </xdr:txBody>
    </xdr:sp>
    <xdr:clientData/>
  </xdr:twoCellAnchor>
  <xdr:twoCellAnchor editAs="absolute">
    <xdr:from>
      <xdr:col>8</xdr:col>
      <xdr:colOff>1381125</xdr:colOff>
      <xdr:row>34</xdr:row>
      <xdr:rowOff>190500</xdr:rowOff>
    </xdr:from>
    <xdr:to>
      <xdr:col>10</xdr:col>
      <xdr:colOff>590550</xdr:colOff>
      <xdr:row>35</xdr:row>
      <xdr:rowOff>219075</xdr:rowOff>
    </xdr:to>
    <xdr:sp macro="" textlink="">
      <xdr:nvSpPr>
        <xdr:cNvPr id="6" name="Text Box 249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834383" y="7881651"/>
          <a:ext cx="2653516" cy="242477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marL="0" marR="0" indent="0" algn="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pt-BR" sz="1000" b="0" i="0">
              <a:effectLst/>
              <a:latin typeface="+mn-lt"/>
              <a:ea typeface="+mn-ea"/>
              <a:cs typeface="+mn-cs"/>
            </a:rPr>
            <a:t>JUSTIFICAR NO  CAMPO "PONTOS DE ATENÇÃO"</a:t>
          </a:r>
          <a:endParaRPr lang="pt-BR">
            <a:effectLst/>
          </a:endParaRPr>
        </a:p>
        <a:p>
          <a:pPr algn="r" rtl="1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
            </a:t>
          </a:r>
        </a:p>
      </xdr:txBody>
    </xdr:sp>
    <xdr:clientData/>
  </xdr:twoCellAnchor>
  <xdr:twoCellAnchor editAs="absolute">
    <xdr:from>
      <xdr:col>9</xdr:col>
      <xdr:colOff>942975</xdr:colOff>
      <xdr:row>30</xdr:row>
      <xdr:rowOff>133350</xdr:rowOff>
    </xdr:from>
    <xdr:to>
      <xdr:col>12</xdr:col>
      <xdr:colOff>438150</xdr:colOff>
      <xdr:row>31</xdr:row>
      <xdr:rowOff>114300</xdr:rowOff>
    </xdr:to>
    <xdr:sp macro="" textlink="" fLocksText="0">
      <xdr:nvSpPr>
        <xdr:cNvPr id="8" name="Text Box 269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7079042" y="7288646"/>
          <a:ext cx="2333962" cy="198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942975</xdr:colOff>
      <xdr:row>31</xdr:row>
      <xdr:rowOff>200025</xdr:rowOff>
    </xdr:from>
    <xdr:to>
      <xdr:col>12</xdr:col>
      <xdr:colOff>438150</xdr:colOff>
      <xdr:row>34</xdr:row>
      <xdr:rowOff>57150</xdr:rowOff>
    </xdr:to>
    <xdr:sp macro="" textlink="" fLocksText="0">
      <xdr:nvSpPr>
        <xdr:cNvPr id="9" name="Text Box 270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7079042" y="7572015"/>
          <a:ext cx="2333962" cy="187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942975</xdr:colOff>
      <xdr:row>34</xdr:row>
      <xdr:rowOff>142875</xdr:rowOff>
    </xdr:from>
    <xdr:to>
      <xdr:col>12</xdr:col>
      <xdr:colOff>438150</xdr:colOff>
      <xdr:row>35</xdr:row>
      <xdr:rowOff>123825</xdr:rowOff>
    </xdr:to>
    <xdr:sp macro="" textlink="" fLocksText="0">
      <xdr:nvSpPr>
        <xdr:cNvPr id="10" name="Text Box 271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7079042" y="7829190"/>
          <a:ext cx="2333962" cy="2129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942975</xdr:colOff>
      <xdr:row>35</xdr:row>
      <xdr:rowOff>180975</xdr:rowOff>
    </xdr:from>
    <xdr:to>
      <xdr:col>12</xdr:col>
      <xdr:colOff>438150</xdr:colOff>
      <xdr:row>36</xdr:row>
      <xdr:rowOff>142875</xdr:rowOff>
    </xdr:to>
    <xdr:sp macro="" textlink="" fLocksText="0">
      <xdr:nvSpPr>
        <xdr:cNvPr id="11" name="Text Box 272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7079042" y="8099858"/>
          <a:ext cx="2333962" cy="187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181491</xdr:colOff>
      <xdr:row>0</xdr:row>
      <xdr:rowOff>26979</xdr:rowOff>
    </xdr:from>
    <xdr:to>
      <xdr:col>2</xdr:col>
      <xdr:colOff>891225</xdr:colOff>
      <xdr:row>0</xdr:row>
      <xdr:rowOff>523874</xdr:rowOff>
    </xdr:to>
    <xdr:pic>
      <xdr:nvPicPr>
        <xdr:cNvPr id="12" name="Imagem 87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305" y="26979"/>
          <a:ext cx="964472" cy="49689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428625</xdr:colOff>
      <xdr:row>31</xdr:row>
      <xdr:rowOff>400050</xdr:rowOff>
    </xdr:from>
    <xdr:to>
      <xdr:col>5</xdr:col>
      <xdr:colOff>419100</xdr:colOff>
      <xdr:row>31</xdr:row>
      <xdr:rowOff>628650</xdr:rowOff>
    </xdr:to>
    <xdr:sp macro="" textlink="">
      <xdr:nvSpPr>
        <xdr:cNvPr id="2" name="Text Box 214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5489037" y="7579670"/>
          <a:ext cx="1632459" cy="220138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APROVADOR SUP: </a:t>
          </a:r>
        </a:p>
      </xdr:txBody>
    </xdr:sp>
    <xdr:clientData/>
  </xdr:twoCellAnchor>
  <xdr:twoCellAnchor editAs="absolute">
    <xdr:from>
      <xdr:col>4</xdr:col>
      <xdr:colOff>428625</xdr:colOff>
      <xdr:row>31</xdr:row>
      <xdr:rowOff>47625</xdr:rowOff>
    </xdr:from>
    <xdr:to>
      <xdr:col>5</xdr:col>
      <xdr:colOff>419100</xdr:colOff>
      <xdr:row>31</xdr:row>
      <xdr:rowOff>247650</xdr:rowOff>
    </xdr:to>
    <xdr:sp macro="" textlink="">
      <xdr:nvSpPr>
        <xdr:cNvPr id="3" name="Text Box 215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5489037" y="7309221"/>
          <a:ext cx="1632459" cy="186281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GERÊNCIA SUP: </a:t>
          </a:r>
        </a:p>
      </xdr:txBody>
    </xdr:sp>
    <xdr:clientData/>
  </xdr:twoCellAnchor>
  <xdr:twoCellAnchor editAs="absolute">
    <xdr:from>
      <xdr:col>4</xdr:col>
      <xdr:colOff>428625</xdr:colOff>
      <xdr:row>32</xdr:row>
      <xdr:rowOff>0</xdr:rowOff>
    </xdr:from>
    <xdr:to>
      <xdr:col>5</xdr:col>
      <xdr:colOff>419100</xdr:colOff>
      <xdr:row>33</xdr:row>
      <xdr:rowOff>190500</xdr:rowOff>
    </xdr:to>
    <xdr:sp macro="" textlink="">
      <xdr:nvSpPr>
        <xdr:cNvPr id="4" name="Text Box 220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5489037" y="8094138"/>
          <a:ext cx="1632459" cy="217559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SOLICITANTE CLIENTE: </a:t>
          </a:r>
        </a:p>
      </xdr:txBody>
    </xdr:sp>
    <xdr:clientData/>
  </xdr:twoCellAnchor>
  <xdr:twoCellAnchor editAs="absolute">
    <xdr:from>
      <xdr:col>4</xdr:col>
      <xdr:colOff>428625</xdr:colOff>
      <xdr:row>31</xdr:row>
      <xdr:rowOff>628650</xdr:rowOff>
    </xdr:from>
    <xdr:to>
      <xdr:col>5</xdr:col>
      <xdr:colOff>419100</xdr:colOff>
      <xdr:row>32</xdr:row>
      <xdr:rowOff>0</xdr:rowOff>
    </xdr:to>
    <xdr:sp macro="" textlink="">
      <xdr:nvSpPr>
        <xdr:cNvPr id="5" name="Text Box 221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5489037" y="7864573"/>
          <a:ext cx="1632552" cy="167609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GERÊNCIA CLIENTE: </a:t>
          </a:r>
        </a:p>
      </xdr:txBody>
    </xdr:sp>
    <xdr:clientData/>
  </xdr:twoCellAnchor>
  <xdr:twoCellAnchor editAs="absolute">
    <xdr:from>
      <xdr:col>4</xdr:col>
      <xdr:colOff>847725</xdr:colOff>
      <xdr:row>31</xdr:row>
      <xdr:rowOff>619125</xdr:rowOff>
    </xdr:from>
    <xdr:to>
      <xdr:col>6</xdr:col>
      <xdr:colOff>133350</xdr:colOff>
      <xdr:row>33</xdr:row>
      <xdr:rowOff>152400</xdr:rowOff>
    </xdr:to>
    <xdr:sp macro="" textlink="">
      <xdr:nvSpPr>
        <xdr:cNvPr id="6" name="Text Box 249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5918991" y="7906478"/>
          <a:ext cx="2573866" cy="226189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marL="0" marR="0" indent="0" algn="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pt-BR" sz="1000" b="0" i="0">
              <a:effectLst/>
              <a:latin typeface="+mn-lt"/>
              <a:ea typeface="+mn-ea"/>
              <a:cs typeface="+mn-cs"/>
            </a:rPr>
            <a:t>JUSTIFICAR NO  CAMPO "PONTOS DE ATENÇÃO"</a:t>
          </a:r>
          <a:endParaRPr lang="pt-BR">
            <a:effectLst/>
          </a:endParaRPr>
        </a:p>
        <a:p>
          <a:pPr algn="r" rtl="1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
            </a:t>
          </a:r>
        </a:p>
      </xdr:txBody>
    </xdr:sp>
    <xdr:clientData/>
  </xdr:twoCellAnchor>
  <xdr:twoCellAnchor editAs="absolute">
    <xdr:from>
      <xdr:col>5</xdr:col>
      <xdr:colOff>438150</xdr:colOff>
      <xdr:row>31</xdr:row>
      <xdr:rowOff>47625</xdr:rowOff>
    </xdr:from>
    <xdr:to>
      <xdr:col>6</xdr:col>
      <xdr:colOff>1085850</xdr:colOff>
      <xdr:row>31</xdr:row>
      <xdr:rowOff>247650</xdr:rowOff>
    </xdr:to>
    <xdr:sp macro="" textlink="" fLocksText="0">
      <xdr:nvSpPr>
        <xdr:cNvPr id="7" name="Text Box 269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7149489" y="7296445"/>
          <a:ext cx="2281073" cy="18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438150</xdr:colOff>
      <xdr:row>31</xdr:row>
      <xdr:rowOff>400050</xdr:rowOff>
    </xdr:from>
    <xdr:to>
      <xdr:col>6</xdr:col>
      <xdr:colOff>1085850</xdr:colOff>
      <xdr:row>31</xdr:row>
      <xdr:rowOff>590550</xdr:rowOff>
    </xdr:to>
    <xdr:sp macro="" textlink="" fLocksText="0">
      <xdr:nvSpPr>
        <xdr:cNvPr id="8" name="Text Box 270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7149489" y="7576949"/>
          <a:ext cx="2281073" cy="1936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438150</xdr:colOff>
      <xdr:row>31</xdr:row>
      <xdr:rowOff>619125</xdr:rowOff>
    </xdr:from>
    <xdr:to>
      <xdr:col>6</xdr:col>
      <xdr:colOff>1085850</xdr:colOff>
      <xdr:row>32</xdr:row>
      <xdr:rowOff>0</xdr:rowOff>
    </xdr:to>
    <xdr:sp macro="" textlink="" fLocksText="0">
      <xdr:nvSpPr>
        <xdr:cNvPr id="9" name="Text Box 271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7149489" y="7861852"/>
          <a:ext cx="2281073" cy="1739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438150</xdr:colOff>
      <xdr:row>32</xdr:row>
      <xdr:rowOff>0</xdr:rowOff>
    </xdr:from>
    <xdr:to>
      <xdr:col>6</xdr:col>
      <xdr:colOff>1085850</xdr:colOff>
      <xdr:row>33</xdr:row>
      <xdr:rowOff>190500</xdr:rowOff>
    </xdr:to>
    <xdr:sp macro="" textlink="" fLocksText="0">
      <xdr:nvSpPr>
        <xdr:cNvPr id="10" name="Text Box 272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7149489" y="8104164"/>
          <a:ext cx="2281073" cy="184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100853</xdr:colOff>
      <xdr:row>0</xdr:row>
      <xdr:rowOff>100853</xdr:rowOff>
    </xdr:from>
    <xdr:to>
      <xdr:col>1</xdr:col>
      <xdr:colOff>1581150</xdr:colOff>
      <xdr:row>0</xdr:row>
      <xdr:rowOff>453278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12" y="100853"/>
          <a:ext cx="1490381" cy="32299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/Documents%20and%20Settings/DIOGO.PEREIRA/Meus%20documentos/VIAPAR/02_2010/10_02_ESTUDOS_PROJETOS_2010/07_OAE_Cont_Mand_Zocco/Entrega_DER/Orcamento/OAE_LE_LD_Est%20495+000-DER_R00.xls" TargetMode="External"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cvrdriosa00\DADOS\Downloads\RH%20PADRAO%20-%20LCMFURT%20-%20903980015%20-%20LCMFURT%20-%2023082011-1617(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camento"/>
      <sheetName val="fck20MPa_BDI39,25%"/>
      <sheetName val="fck30MPa_BDI39,25%"/>
      <sheetName val="fck20MPa_BDI30,00%"/>
      <sheetName val="fck30MPa_BDI30,00%"/>
    </sheetNames>
    <sheetDataSet>
      <sheetData sheetId="0" refreshError="1"/>
      <sheetData sheetId="1" refreshError="1">
        <row r="47">
          <cell r="L47">
            <v>170.33</v>
          </cell>
        </row>
      </sheetData>
      <sheetData sheetId="2" refreshError="1">
        <row r="47">
          <cell r="L47">
            <v>185.6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Resumo"/>
      <sheetName val="Contratação"/>
      <sheetName val="Aprovação"/>
      <sheetName val="MAC"/>
      <sheetName val="RESUMO "/>
      <sheetName val="Anexo II  Teste Derivativo"/>
      <sheetName val="Anexo IV Formula Parametr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>
    <tabColor theme="9" tint="-0.249977111117893"/>
  </sheetPr>
  <dimension ref="A1:AQ67"/>
  <sheetViews>
    <sheetView showGridLines="0" topLeftCell="A64" zoomScale="80" zoomScaleNormal="80" zoomScaleSheetLayoutView="37" workbookViewId="0">
      <selection activeCell="E83" sqref="E83"/>
    </sheetView>
  </sheetViews>
  <sheetFormatPr defaultColWidth="0" defaultRowHeight="13.15"/>
  <cols>
    <col min="1" max="1" width="1.7109375" customWidth="1" style="19"/>
    <col min="2" max="2" width="4.7109375" customWidth="1" style="19"/>
    <col min="3" max="3" width="17" customWidth="1" style="19"/>
    <col min="4" max="4" width="8.140625" customWidth="1" style="19"/>
    <col min="5" max="5" width="10.7109375" customWidth="1" style="19"/>
    <col min="6" max="6" width="6.5703125" customWidth="1" style="19"/>
    <col min="7" max="7" width="12.5703125" customWidth="1" style="19"/>
    <col min="8" max="8" width="6.5703125" customWidth="1" style="19"/>
    <col min="9" max="9" width="25" customWidth="1" style="19"/>
    <col min="10" max="10" width="25.5703125" customWidth="1" style="19"/>
    <col min="11" max="11" width="9" customWidth="1" style="19"/>
    <col min="12" max="12" width="7.28515625" customWidth="1" style="19"/>
    <col min="13" max="13" width="7.140625" customWidth="1" style="19"/>
    <col min="14" max="14" width="6" customWidth="1" style="19"/>
    <col min="15" max="15" width="11" customWidth="1" style="19"/>
    <col min="16" max="16" width="18" customWidth="1" style="48"/>
    <col min="17" max="17" width="21.28515625" customWidth="1" style="48"/>
    <col min="18" max="18" width="19.28515625" customWidth="1" style="48"/>
    <col min="19" max="19" width="22.28515625" customWidth="1" style="48"/>
    <col min="20" max="21" width="18.5703125" customWidth="1" style="18"/>
    <col min="22" max="22" width="22.7109375" customWidth="1" style="18"/>
    <col min="23" max="23" width="18.85546875" customWidth="1" style="18"/>
    <col min="24" max="25" width="22.7109375" customWidth="1" style="18"/>
    <col min="26" max="26" width="8.7109375" customWidth="1" style="18"/>
    <col min="27" max="28" width="13.5703125" customWidth="1" style="18"/>
    <col min="29" max="29" width="12.5703125" customWidth="1" style="18"/>
    <col min="30" max="34" width="18.5703125" customWidth="1" style="18"/>
    <col min="35" max="35" width="12.85546875" customWidth="1" style="18"/>
    <col min="36" max="36" width="13.5703125" customWidth="1" style="18"/>
    <col min="37" max="37" width="13.5703125" customWidth="1" style="19"/>
    <col min="38" max="43" hidden="1" width="9.140625" customWidth="1" style="19"/>
    <col min="44" max="48" hidden="1" width="0" customWidth="1" style="19"/>
    <col min="49" max="16384" hidden="1" width="9.140625" customWidth="1" style="19"/>
  </cols>
  <sheetData>
    <row r="1" ht="46.5" customHeight="1">
      <c r="B1" s="313"/>
      <c r="C1" s="314"/>
      <c r="D1" s="315" t="s">
        <v>89</v>
      </c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5"/>
      <c r="P1" s="301" t="s">
        <v>1</v>
      </c>
      <c r="Q1" s="301"/>
      <c r="R1" s="301"/>
      <c r="S1" s="302"/>
    </row>
    <row r="2" ht="19.5" customHeight="1">
      <c r="B2" s="303" t="s">
        <v>2</v>
      </c>
      <c r="C2" s="304"/>
      <c r="D2" s="305" t="s">
        <v>90</v>
      </c>
      <c r="E2" s="306"/>
      <c r="F2" s="20" t="s">
        <v>91</v>
      </c>
      <c r="G2" s="21"/>
      <c r="H2" s="307" t="s">
        <v>12</v>
      </c>
      <c r="I2" s="308"/>
      <c r="J2" s="20" t="s">
        <v>92</v>
      </c>
      <c r="K2" s="311" t="s">
        <v>6</v>
      </c>
      <c r="L2" s="312"/>
      <c r="M2" s="312"/>
      <c r="N2" s="304"/>
      <c r="O2" s="311" t="s">
        <v>7</v>
      </c>
      <c r="P2" s="304"/>
      <c r="Q2" s="83" t="s">
        <v>8</v>
      </c>
      <c r="R2" s="309" t="s">
        <v>93</v>
      </c>
      <c r="S2" s="310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</row>
    <row r="3" ht="21.95" customHeight="1" s="30" customFormat="1">
      <c r="B3" s="316" t="s">
        <v>94</v>
      </c>
      <c r="C3" s="317"/>
      <c r="D3" s="318">
        <v>3312</v>
      </c>
      <c r="E3" s="318"/>
      <c r="F3" s="23" t="s">
        <v>95</v>
      </c>
      <c r="G3" s="24"/>
      <c r="H3" s="331" t="s">
        <v>96</v>
      </c>
      <c r="I3" s="331"/>
      <c r="J3" s="25" t="s">
        <v>24</v>
      </c>
      <c r="K3" s="365" t="s">
        <v>14</v>
      </c>
      <c r="L3" s="367"/>
      <c r="M3" s="367"/>
      <c r="N3" s="366"/>
      <c r="O3" s="365" t="s">
        <v>97</v>
      </c>
      <c r="P3" s="366"/>
      <c r="Q3" s="25" t="s">
        <v>98</v>
      </c>
      <c r="R3" s="363">
        <v>47961644.36</v>
      </c>
      <c r="S3" s="364"/>
      <c r="T3" s="26"/>
      <c r="U3" s="27"/>
      <c r="V3" s="27"/>
      <c r="W3" s="28"/>
      <c r="X3" s="27"/>
      <c r="Y3" s="27"/>
      <c r="Z3" s="27"/>
      <c r="AA3" s="27"/>
      <c r="AB3" s="27"/>
      <c r="AC3" s="27"/>
      <c r="AD3" s="29"/>
      <c r="AE3" s="29"/>
      <c r="AF3" s="26"/>
      <c r="AG3" s="26"/>
      <c r="AH3" s="26"/>
      <c r="AI3" s="27"/>
      <c r="AJ3" s="27"/>
    </row>
    <row r="4" ht="20.1" customHeight="1" s="30" customFormat="1">
      <c r="B4" s="316" t="s">
        <v>17</v>
      </c>
      <c r="C4" s="317"/>
      <c r="D4" s="368" t="s">
        <v>18</v>
      </c>
      <c r="E4" s="368"/>
      <c r="F4" s="368"/>
      <c r="G4" s="368"/>
      <c r="H4" s="368"/>
      <c r="I4" s="368"/>
      <c r="J4" s="368"/>
      <c r="K4" s="368"/>
      <c r="L4" s="368"/>
      <c r="M4" s="368"/>
      <c r="N4" s="368"/>
      <c r="O4" s="368"/>
      <c r="P4" s="368"/>
      <c r="Q4" s="368"/>
      <c r="R4" s="317" t="s">
        <v>19</v>
      </c>
      <c r="S4" s="332"/>
      <c r="T4" s="26"/>
      <c r="U4" s="27"/>
      <c r="V4" s="27"/>
      <c r="W4" s="28"/>
      <c r="X4" s="27"/>
      <c r="Y4" s="27"/>
      <c r="Z4" s="27"/>
      <c r="AA4" s="27"/>
      <c r="AB4" s="27"/>
      <c r="AC4" s="27"/>
      <c r="AD4" s="29"/>
      <c r="AE4" s="29"/>
      <c r="AF4" s="26"/>
      <c r="AG4" s="26"/>
      <c r="AH4" s="26"/>
      <c r="AI4" s="27"/>
      <c r="AJ4" s="27"/>
      <c r="AP4" s="30">
        <f>IF(ISERROR(VLOOKUP(#REF!,$AL$2:$AL$34,1,FALSE)),"",VLOOKUP(#REF!,$AL$2:$AL$34,1,FALSE))</f>
      </c>
      <c r="AQ4" s="30">
        <f>IF(ISERROR(VLOOKUP(#REF!,$AL$2:$AL$34,1,FALSE)),"",VLOOKUP(#REF!,$AL$2:$AL$34,1,FALSE))</f>
      </c>
    </row>
    <row r="5" ht="30" customHeight="1" s="30" customFormat="1">
      <c r="B5" s="316"/>
      <c r="C5" s="317"/>
      <c r="D5" s="368"/>
      <c r="E5" s="368"/>
      <c r="F5" s="368"/>
      <c r="G5" s="368"/>
      <c r="H5" s="368"/>
      <c r="I5" s="368"/>
      <c r="J5" s="368"/>
      <c r="K5" s="368"/>
      <c r="L5" s="368"/>
      <c r="M5" s="368"/>
      <c r="N5" s="368"/>
      <c r="O5" s="368"/>
      <c r="P5" s="368"/>
      <c r="Q5" s="368"/>
      <c r="R5" s="381" t="s">
        <v>20</v>
      </c>
      <c r="S5" s="382"/>
      <c r="T5" s="26"/>
      <c r="U5" s="27"/>
      <c r="V5" s="27"/>
      <c r="W5" s="28"/>
      <c r="X5" s="27"/>
      <c r="Y5" s="27"/>
      <c r="Z5" s="27"/>
      <c r="AA5" s="27"/>
      <c r="AB5" s="27"/>
      <c r="AC5" s="27"/>
      <c r="AD5" s="29"/>
      <c r="AE5" s="29"/>
      <c r="AF5" s="26"/>
      <c r="AG5" s="26"/>
      <c r="AH5" s="26"/>
      <c r="AI5" s="27"/>
      <c r="AJ5" s="27"/>
    </row>
    <row r="6" ht="25.5" customHeight="1" s="30" customFormat="1">
      <c r="B6" s="316" t="s">
        <v>21</v>
      </c>
      <c r="C6" s="317"/>
      <c r="D6" s="368" t="s">
        <v>22</v>
      </c>
      <c r="E6" s="368"/>
      <c r="F6" s="368"/>
      <c r="G6" s="368"/>
      <c r="H6" s="368"/>
      <c r="I6" s="368"/>
      <c r="J6" s="368"/>
      <c r="K6" s="368"/>
      <c r="L6" s="368"/>
      <c r="M6" s="368"/>
      <c r="N6" s="368"/>
      <c r="O6" s="368"/>
      <c r="P6" s="368"/>
      <c r="Q6" s="368"/>
      <c r="R6" s="317" t="s">
        <v>23</v>
      </c>
      <c r="S6" s="332"/>
      <c r="T6" s="26"/>
      <c r="U6" s="27"/>
      <c r="V6" s="27"/>
      <c r="W6" s="28"/>
      <c r="X6" s="27"/>
      <c r="Y6" s="27"/>
      <c r="Z6" s="27"/>
      <c r="AA6" s="27"/>
      <c r="AB6" s="27"/>
      <c r="AC6" s="27"/>
      <c r="AD6" s="29"/>
      <c r="AE6" s="29"/>
      <c r="AF6" s="26"/>
      <c r="AG6" s="26"/>
      <c r="AH6" s="26"/>
      <c r="AI6" s="27"/>
      <c r="AJ6" s="27"/>
    </row>
    <row r="7" ht="27" customHeight="1" s="30" customFormat="1">
      <c r="B7" s="378"/>
      <c r="C7" s="379"/>
      <c r="D7" s="380"/>
      <c r="E7" s="380"/>
      <c r="F7" s="380"/>
      <c r="G7" s="380"/>
      <c r="H7" s="380"/>
      <c r="I7" s="380"/>
      <c r="J7" s="380"/>
      <c r="K7" s="380"/>
      <c r="L7" s="380"/>
      <c r="M7" s="380"/>
      <c r="N7" s="380"/>
      <c r="O7" s="380"/>
      <c r="P7" s="380"/>
      <c r="Q7" s="380"/>
      <c r="R7" s="333" t="s">
        <v>24</v>
      </c>
      <c r="S7" s="334"/>
      <c r="T7" s="26"/>
      <c r="U7" s="27"/>
      <c r="V7" s="27"/>
      <c r="W7" s="28"/>
      <c r="X7" s="27"/>
      <c r="Y7" s="27"/>
      <c r="Z7" s="27"/>
      <c r="AA7" s="27"/>
      <c r="AB7" s="27"/>
      <c r="AC7" s="27"/>
      <c r="AD7" s="29"/>
      <c r="AE7" s="29"/>
      <c r="AF7" s="26"/>
      <c r="AG7" s="26"/>
      <c r="AH7" s="26"/>
      <c r="AI7" s="27"/>
      <c r="AJ7" s="27"/>
    </row>
    <row r="8" ht="16.5" customHeight="1">
      <c r="B8" s="335" t="s">
        <v>99</v>
      </c>
      <c r="C8" s="336"/>
      <c r="D8" s="336"/>
      <c r="E8" s="336"/>
      <c r="F8" s="336"/>
      <c r="G8" s="336"/>
      <c r="H8" s="336"/>
      <c r="I8" s="336"/>
      <c r="J8" s="336"/>
      <c r="K8" s="336"/>
      <c r="L8" s="336"/>
      <c r="M8" s="336"/>
      <c r="N8" s="336"/>
      <c r="O8" s="336"/>
      <c r="P8" s="336"/>
      <c r="Q8" s="336"/>
      <c r="R8" s="336"/>
      <c r="S8" s="337"/>
      <c r="T8" s="22"/>
      <c r="U8" s="22"/>
      <c r="V8" s="22"/>
      <c r="W8" s="22"/>
      <c r="X8" s="31"/>
      <c r="Y8" s="31"/>
      <c r="Z8" s="32"/>
      <c r="AA8" s="32"/>
      <c r="AB8" s="32"/>
      <c r="AC8" s="22"/>
      <c r="AD8" s="22"/>
      <c r="AE8" s="19"/>
      <c r="AF8" s="19"/>
      <c r="AG8" s="19"/>
      <c r="AH8" s="19"/>
      <c r="AI8" s="19"/>
      <c r="AJ8" s="19">
        <f>IF(ISERROR(VLOOKUP(#REF!,$AF$2:$AF$34,1,FALSE)),"",VLOOKUP(#REF!,$AF$2:$AF$34,1,FALSE))</f>
      </c>
      <c r="AK8" s="19">
        <f>IF(ISERROR(VLOOKUP(#REF!,$AF$2:$AF$34,1,FALSE)),"",VLOOKUP(#REF!,$AF$2:$AF$34,1,FALSE))</f>
      </c>
    </row>
    <row r="9" ht="16.5" customHeight="1">
      <c r="B9" s="338" t="s">
        <v>26</v>
      </c>
      <c r="C9" s="339"/>
      <c r="D9" s="339"/>
      <c r="E9" s="339"/>
      <c r="F9" s="339"/>
      <c r="G9" s="339"/>
      <c r="H9" s="339"/>
      <c r="I9" s="33" t="s">
        <v>27</v>
      </c>
      <c r="J9" s="33" t="s">
        <v>28</v>
      </c>
      <c r="K9" s="375" t="s">
        <v>29</v>
      </c>
      <c r="L9" s="376"/>
      <c r="M9" s="376"/>
      <c r="N9" s="377"/>
      <c r="O9" s="375" t="s">
        <v>30</v>
      </c>
      <c r="P9" s="376"/>
      <c r="Q9" s="34" t="s">
        <v>31</v>
      </c>
      <c r="R9" s="34" t="s">
        <v>32</v>
      </c>
      <c r="S9" s="35" t="s">
        <v>33</v>
      </c>
      <c r="T9" s="22"/>
      <c r="U9" s="22"/>
      <c r="V9" s="22"/>
      <c r="W9" s="22"/>
      <c r="X9" s="31"/>
      <c r="Y9" s="31"/>
      <c r="Z9" s="32"/>
      <c r="AA9" s="32"/>
      <c r="AB9" s="32"/>
      <c r="AC9" s="22"/>
      <c r="AD9" s="22"/>
      <c r="AE9" s="19"/>
      <c r="AF9" s="19"/>
      <c r="AG9" s="19"/>
      <c r="AH9" s="19"/>
      <c r="AI9" s="19"/>
      <c r="AJ9" s="19">
        <f>IF(ISERROR(VLOOKUP(#REF!,$AF$2:$AF$34,1,FALSE)),"",VLOOKUP(#REF!,$AF$2:$AF$34,1,FALSE))</f>
      </c>
    </row>
    <row r="10" ht="30.95" customHeight="1">
      <c r="B10" s="340" t="s">
        <v>34</v>
      </c>
      <c r="C10" s="341"/>
      <c r="D10" s="341"/>
      <c r="E10" s="341"/>
      <c r="F10" s="341"/>
      <c r="G10" s="341"/>
      <c r="H10" s="341"/>
      <c r="I10" s="85" t="s">
        <v>35</v>
      </c>
      <c r="J10" s="131" t="s">
        <v>36</v>
      </c>
      <c r="K10" s="342" t="s">
        <v>37</v>
      </c>
      <c r="L10" s="343"/>
      <c r="M10" s="343"/>
      <c r="N10" s="344"/>
      <c r="O10" s="342" t="s">
        <v>38</v>
      </c>
      <c r="P10" s="344"/>
      <c r="Q10" s="132" t="s">
        <v>39</v>
      </c>
      <c r="R10" s="132" t="s">
        <v>40</v>
      </c>
      <c r="S10" s="133" t="s">
        <v>41</v>
      </c>
      <c r="T10" s="22"/>
      <c r="U10" s="22"/>
      <c r="V10" s="22"/>
      <c r="W10" s="22"/>
      <c r="X10" s="31"/>
      <c r="Y10" s="31"/>
      <c r="Z10" s="32"/>
      <c r="AA10" s="32"/>
      <c r="AB10" s="32"/>
      <c r="AC10" s="22"/>
      <c r="AD10" s="22"/>
      <c r="AE10" s="19"/>
      <c r="AF10" s="19"/>
      <c r="AG10" s="19"/>
      <c r="AH10" s="19"/>
      <c r="AI10" s="19"/>
      <c r="AJ10" s="19"/>
    </row>
    <row r="11" ht="25.5" customHeight="1">
      <c r="B11" s="104" t="s">
        <v>42</v>
      </c>
      <c r="C11" s="108"/>
      <c r="D11" s="108"/>
      <c r="E11" s="108"/>
      <c r="F11" s="108"/>
      <c r="G11" s="36"/>
      <c r="H11" s="37"/>
      <c r="I11" s="86">
        <v>52154580.15029781</v>
      </c>
      <c r="J11" s="122">
        <v>65528600.483102724</v>
      </c>
      <c r="K11" s="345">
        <v>105778541.24</v>
      </c>
      <c r="L11" s="346"/>
      <c r="M11" s="346"/>
      <c r="N11" s="347"/>
      <c r="O11" s="348">
        <v>113524826.48</v>
      </c>
      <c r="P11" s="349"/>
      <c r="Q11" s="96">
        <v>140515402.25754747</v>
      </c>
      <c r="R11" s="38">
        <v>309721520.11</v>
      </c>
      <c r="S11" s="141" t="s">
        <v>100</v>
      </c>
      <c r="T11" s="22"/>
      <c r="U11" s="22"/>
      <c r="V11" s="22"/>
      <c r="W11" s="22"/>
      <c r="X11" s="31"/>
      <c r="Y11" s="31"/>
      <c r="Z11" s="32"/>
      <c r="AA11" s="32"/>
      <c r="AB11" s="32"/>
      <c r="AC11" s="22"/>
      <c r="AD11" s="22"/>
      <c r="AE11" s="19"/>
      <c r="AF11" s="19"/>
      <c r="AG11" s="19"/>
      <c r="AH11" s="19"/>
      <c r="AI11" s="19"/>
      <c r="AJ11" s="19"/>
    </row>
    <row r="12" ht="15" customHeight="1">
      <c r="B12" s="105" t="s">
        <v>43</v>
      </c>
      <c r="C12" s="90"/>
      <c r="D12" s="90"/>
      <c r="E12" s="90"/>
      <c r="F12" s="90"/>
      <c r="G12" s="39"/>
      <c r="H12" s="40"/>
      <c r="I12" s="87">
        <v>49025305.34</v>
      </c>
      <c r="J12" s="125">
        <v>59975281.61</v>
      </c>
      <c r="K12" s="369">
        <v>88430792.3</v>
      </c>
      <c r="L12" s="370"/>
      <c r="M12" s="370"/>
      <c r="N12" s="371"/>
      <c r="O12" s="369" t="s">
        <v>101</v>
      </c>
      <c r="P12" s="371"/>
      <c r="Q12" s="120">
        <v>127814035.78</v>
      </c>
      <c r="R12" s="41">
        <v>304513492.6</v>
      </c>
      <c r="S12" s="42" t="s">
        <v>44</v>
      </c>
      <c r="T12" s="22"/>
      <c r="U12" s="22"/>
      <c r="V12" s="22"/>
      <c r="W12" s="22"/>
      <c r="X12" s="31"/>
      <c r="Y12" s="31"/>
      <c r="Z12" s="32"/>
      <c r="AA12" s="32"/>
      <c r="AB12" s="32"/>
      <c r="AC12" s="22"/>
      <c r="AD12" s="22"/>
      <c r="AE12" s="19"/>
      <c r="AF12" s="19"/>
      <c r="AG12" s="19"/>
      <c r="AH12" s="19"/>
      <c r="AI12" s="19"/>
      <c r="AJ12" s="19"/>
    </row>
    <row r="13" ht="15" customHeight="1">
      <c r="B13" s="106" t="s">
        <v>45</v>
      </c>
      <c r="C13" s="90"/>
      <c r="D13" s="90"/>
      <c r="E13" s="90"/>
      <c r="F13" s="90"/>
      <c r="G13" s="39"/>
      <c r="H13" s="40"/>
      <c r="I13" s="91">
        <v>44292027.329382375</v>
      </c>
      <c r="J13" s="97">
        <v>58645797.06041591</v>
      </c>
      <c r="K13" s="369">
        <v>73719078.98</v>
      </c>
      <c r="L13" s="370"/>
      <c r="M13" s="370"/>
      <c r="N13" s="371"/>
      <c r="O13" s="369" t="s">
        <v>44</v>
      </c>
      <c r="P13" s="371"/>
      <c r="Q13" s="121">
        <v>123900000</v>
      </c>
      <c r="R13" s="43">
        <v>304513492.6</v>
      </c>
      <c r="S13" s="44" t="s">
        <v>44</v>
      </c>
      <c r="T13" s="22"/>
      <c r="U13" s="22"/>
      <c r="V13" s="22"/>
      <c r="W13" s="22"/>
      <c r="X13" s="31"/>
      <c r="Y13" s="31"/>
      <c r="Z13" s="32"/>
      <c r="AA13" s="32"/>
      <c r="AB13" s="32"/>
      <c r="AC13" s="22"/>
      <c r="AD13" s="22"/>
      <c r="AE13" s="19"/>
      <c r="AF13" s="19"/>
      <c r="AG13" s="19"/>
      <c r="AH13" s="19"/>
      <c r="AI13" s="19"/>
      <c r="AJ13" s="19"/>
    </row>
    <row r="14" ht="15" customHeight="1">
      <c r="B14" s="105" t="s">
        <v>46</v>
      </c>
      <c r="C14" s="90"/>
      <c r="D14" s="90"/>
      <c r="E14" s="90"/>
      <c r="F14" s="90"/>
      <c r="G14" s="39"/>
      <c r="H14" s="40"/>
      <c r="I14" s="88">
        <f>I11-I13</f>
        <v>7862552.820915438</v>
      </c>
      <c r="J14" s="88">
        <f>J11-J13</f>
        <v>6882803.422686815</v>
      </c>
      <c r="K14" s="372">
        <f>K11-K13</f>
        <v>32059462.25999999</v>
      </c>
      <c r="L14" s="373"/>
      <c r="M14" s="373"/>
      <c r="N14" s="374"/>
      <c r="O14" s="372" t="s">
        <v>44</v>
      </c>
      <c r="P14" s="374"/>
      <c r="Q14" s="88">
        <f>Q11-Q13</f>
        <v>16615402.257547468</v>
      </c>
      <c r="R14" s="88">
        <f>R11-R13</f>
        <v>5208027.50999999</v>
      </c>
      <c r="S14" s="123" t="s">
        <v>44</v>
      </c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19"/>
      <c r="AF14" s="19"/>
      <c r="AG14" s="19"/>
      <c r="AH14" s="19"/>
      <c r="AI14" s="19"/>
      <c r="AJ14" s="19"/>
    </row>
    <row r="15" ht="15" customHeight="1">
      <c r="B15" s="105" t="s">
        <v>47</v>
      </c>
      <c r="C15" s="90"/>
      <c r="D15" s="90"/>
      <c r="E15" s="90"/>
      <c r="F15" s="90"/>
      <c r="G15" s="39"/>
      <c r="H15" s="40"/>
      <c r="I15" s="99">
        <f>(I13/I11)-1</f>
        <v>-0.15075479082100407</v>
      </c>
      <c r="J15" s="99">
        <f>(J13/J11)-1</f>
        <v>-0.10503510485412582</v>
      </c>
      <c r="K15" s="225">
        <f>(K13/K11)-1</f>
        <v>-0.30308096409895235</v>
      </c>
      <c r="L15" s="226"/>
      <c r="M15" s="226"/>
      <c r="N15" s="227"/>
      <c r="O15" s="225" t="s">
        <v>44</v>
      </c>
      <c r="P15" s="227"/>
      <c r="Q15" s="99">
        <f>(Q13/Q11)-1</f>
        <v>-0.1182461281155035</v>
      </c>
      <c r="R15" s="99">
        <f>(R13/R11)-1</f>
        <v>-0.016815194204620743</v>
      </c>
      <c r="S15" s="124" t="s">
        <v>44</v>
      </c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</row>
    <row r="16" ht="15" customHeight="1" s="48" customFormat="1">
      <c r="B16" s="105" t="s">
        <v>48</v>
      </c>
      <c r="C16" s="90"/>
      <c r="D16" s="90"/>
      <c r="E16" s="90"/>
      <c r="F16" s="90"/>
      <c r="G16" s="46"/>
      <c r="H16" s="47"/>
      <c r="I16" s="99">
        <f>IF(ISERROR(IF(I$11="","",IF(I13="","-",IF($R$3=0,"-",(IF(I13&gt;0,I13,I12)/$R$3-1))))),"",IF(I$11="","",IF(I13="","-",IF($R$3=0,"-",(IF(I13&gt;0,I13,I12)/$R$3-1)))))</f>
        <v>-0.07651149328979401</v>
      </c>
      <c r="J16" s="99">
        <f>IF(ISERROR(IF(J$11="","",IF(J13="","-",IF($R$3=0,"-",(IF(J13&gt;0,J13,J12)/$R$3-1))))),"",IF(J$11="","",IF(J13="","-",IF($R$3=0,"-",(IF(J13&gt;0,J13,J12)/$R$3-1)))))</f>
        <v>0.22276452033672323</v>
      </c>
      <c r="K16" s="225">
        <f ref="K16:R16" t="shared" si="0">IF(ISERROR(IF(K$11="","",IF(K13="","-",IF($R$3=0,"-",(IF(K13&gt;0,K13,K12)/$R$3-1))))),"",IF(K$11="","",IF(K13="","-",IF($R$3=0,"-",(IF(K13&gt;0,K13,K12)/$R$3-1)))))</f>
        <v>0.5370423588204098</v>
      </c>
      <c r="L16" s="226">
        <f t="shared" si="0"/>
      </c>
      <c r="M16" s="226">
        <f t="shared" si="0"/>
      </c>
      <c r="N16" s="227">
        <f t="shared" si="0"/>
      </c>
      <c r="O16" s="225" t="s">
        <v>44</v>
      </c>
      <c r="P16" s="227">
        <f t="shared" si="0"/>
      </c>
      <c r="Q16" s="99">
        <f t="shared" si="0"/>
        <v>1.5833142639982665</v>
      </c>
      <c r="R16" s="99">
        <f t="shared" si="0"/>
        <v>5.349104511812031</v>
      </c>
      <c r="S16" s="124" t="s">
        <v>44</v>
      </c>
    </row>
    <row r="17" ht="14.1" customHeight="1" s="48" customFormat="1">
      <c r="B17" s="107" t="s">
        <v>49</v>
      </c>
      <c r="C17" s="90"/>
      <c r="D17" s="90"/>
      <c r="E17" s="90"/>
      <c r="F17" s="90"/>
      <c r="G17" s="46"/>
      <c r="H17" s="47"/>
      <c r="I17" s="99">
        <f>IF(ISERROR(IF(I$11="","",IF(I13="","-",IF(ISERROR((I13-MIN($I$13:$S$13))/MIN($I$13:$S$13)),"-",(I13-MIN($I$13:$S$13))/MIN($I$13:$S$13))))),"",IF(I$11="","",IF(I13="","-",IF(ISERROR((I13-MIN($I$13:$S$13))/MIN($I$13:$S$13)),"-",(I13-MIN($I$13:$S$13))/MIN($I$13:$S$13)))))</f>
        <v>0</v>
      </c>
      <c r="J17" s="99">
        <f>IF(ISERROR(IF(J$11="","",IF(J13="","-",IF(ISERROR((J13-MIN($I$13:$S$13))/MIN($I$13:$S$13)),"-",(J13-MIN($I$13:$S$13))/MIN($I$13:$S$13))))),"",IF(J$11="","",IF(J13="","-",IF(ISERROR((J13-MIN($I$13:$S$13))/MIN($I$13:$S$13)),"-",(J13-MIN($I$13:$S$13))/MIN($I$13:$S$13)))))</f>
        <v>0.3240711838338353</v>
      </c>
      <c r="K17" s="225">
        <f ref="K17:N17" t="shared" si="1">IF(ISERROR(IF(K$11="","",IF(K13="","-",IF(ISERROR((K13-MIN($I$13:$S$13))/MIN($I$13:$S$13)),"-",(K13-MIN($I$13:$S$13))/MIN($I$13:$S$13))))),"",IF(K$11="","",IF(K13="","-",IF(ISERROR((K13-MIN($I$13:$S$13))/MIN($I$13:$S$13)),"-",(K13-MIN($I$13:$S$13))/MIN($I$13:$S$13)))))</f>
        <v>0.6643871013575474</v>
      </c>
      <c r="L17" s="226">
        <f t="shared" si="1"/>
      </c>
      <c r="M17" s="226">
        <f t="shared" si="1"/>
      </c>
      <c r="N17" s="227">
        <f t="shared" si="1"/>
      </c>
      <c r="O17" s="225" t="s">
        <v>44</v>
      </c>
      <c r="P17" s="227"/>
      <c r="Q17" s="99">
        <f>IF(ISERROR(IF(Q$11="","",IF(Q13="","-",IF(ISERROR((Q13-MIN($I$13:$S$13))/MIN($I$13:$S$13)),"-",(Q13-MIN($I$13:$S$13))/MIN($I$13:$S$13))))),"",IF(Q$11="","",IF(Q13="","-",IF(ISERROR((Q13-MIN($I$13:$S$13))/MIN($I$13:$S$13)),"-",(Q13-MIN($I$13:$S$13))/MIN($I$13:$S$13)))))</f>
        <v>1.7973431669452486</v>
      </c>
      <c r="R17" s="99">
        <f>IF(ISERROR(IF(R$11="","",IF(R13="","-",IF(ISERROR((R13-MIN($I$13:$S$13))/MIN($I$13:$S$13)),"-",(R13-MIN($I$13:$S$13))/MIN($I$13:$S$13))))),"",IF(R$11="","",IF(R13="","-",IF(ISERROR((R13-MIN($I$13:$S$13))/MIN($I$13:$S$13)),"-",(R13-MIN($I$13:$S$13))/MIN($I$13:$S$13)))))</f>
        <v>5.875131055425688</v>
      </c>
      <c r="S17" s="124" t="s">
        <v>44</v>
      </c>
    </row>
    <row r="18" hidden="1" ht="15" customHeight="1" s="48" customFormat="1">
      <c r="B18" s="107" t="s">
        <v>102</v>
      </c>
      <c r="C18" s="90"/>
      <c r="D18" s="90"/>
      <c r="E18" s="90"/>
      <c r="F18" s="90"/>
      <c r="G18" s="46"/>
      <c r="H18" s="47"/>
      <c r="I18" s="89">
        <v>0.77</v>
      </c>
      <c r="J18" s="130" t="s">
        <v>44</v>
      </c>
      <c r="K18" s="269" t="s">
        <v>44</v>
      </c>
      <c r="L18" s="270"/>
      <c r="M18" s="270"/>
      <c r="N18" s="271"/>
      <c r="O18" s="272" t="s">
        <v>44</v>
      </c>
      <c r="P18" s="271"/>
      <c r="Q18" s="126" t="s">
        <v>44</v>
      </c>
      <c r="R18" s="126" t="s">
        <v>44</v>
      </c>
      <c r="S18" s="134" t="s">
        <v>44</v>
      </c>
      <c r="X18" s="18"/>
      <c r="Y18" s="18"/>
      <c r="Z18" s="18"/>
      <c r="AA18" s="18"/>
      <c r="AB18" s="18"/>
      <c r="AE18" s="18"/>
    </row>
    <row r="19" ht="19.5" customHeight="1" s="48" customFormat="1">
      <c r="B19" s="135" t="s">
        <v>50</v>
      </c>
      <c r="C19" s="136"/>
      <c r="D19" s="136"/>
      <c r="E19" s="136"/>
      <c r="F19" s="136"/>
      <c r="G19" s="137"/>
      <c r="H19" s="138"/>
      <c r="I19" s="139" t="s">
        <v>51</v>
      </c>
      <c r="J19" s="139" t="s">
        <v>51</v>
      </c>
      <c r="K19" s="266" t="s">
        <v>51</v>
      </c>
      <c r="L19" s="267"/>
      <c r="M19" s="267"/>
      <c r="N19" s="268"/>
      <c r="O19" s="266" t="s">
        <v>44</v>
      </c>
      <c r="P19" s="268"/>
      <c r="Q19" s="139" t="s">
        <v>51</v>
      </c>
      <c r="R19" s="139" t="s">
        <v>51</v>
      </c>
      <c r="S19" s="140" t="s">
        <v>44</v>
      </c>
      <c r="X19" s="18"/>
      <c r="Y19" s="18"/>
      <c r="Z19" s="18"/>
      <c r="AA19" s="18"/>
      <c r="AB19" s="18"/>
      <c r="AE19" s="18"/>
    </row>
    <row r="20" ht="20.25" customHeight="1" s="48" customFormat="1">
      <c r="B20" s="275" t="s">
        <v>103</v>
      </c>
      <c r="C20" s="276"/>
      <c r="D20" s="276"/>
      <c r="E20" s="276"/>
      <c r="F20" s="276"/>
      <c r="G20" s="276"/>
      <c r="H20" s="276"/>
      <c r="I20" s="276"/>
      <c r="J20" s="276"/>
      <c r="K20" s="276"/>
      <c r="L20" s="276"/>
      <c r="M20" s="276"/>
      <c r="N20" s="276"/>
      <c r="O20" s="276"/>
      <c r="P20" s="276"/>
      <c r="Q20" s="276"/>
      <c r="R20" s="276"/>
      <c r="S20" s="277"/>
      <c r="X20" s="18"/>
      <c r="Y20" s="18"/>
      <c r="Z20" s="18"/>
      <c r="AA20" s="18"/>
      <c r="AB20" s="18"/>
      <c r="AE20" s="18"/>
    </row>
    <row r="21" ht="3.75" customHeight="1">
      <c r="B21" s="127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</row>
    <row r="22" ht="12.75" customHeight="1">
      <c r="B22" s="49" t="s">
        <v>104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1"/>
      <c r="Q22" s="51"/>
      <c r="R22" s="51"/>
      <c r="S22" s="52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</row>
    <row r="23" ht="24.75" customHeight="1">
      <c r="B23" s="53"/>
      <c r="D23" s="54"/>
      <c r="G23" s="291" t="s">
        <v>105</v>
      </c>
      <c r="H23" s="292"/>
      <c r="I23" s="55" t="s">
        <v>106</v>
      </c>
      <c r="J23" s="56" t="s">
        <v>107</v>
      </c>
      <c r="Q23" s="56" t="s">
        <v>105</v>
      </c>
      <c r="R23" s="55" t="s">
        <v>106</v>
      </c>
      <c r="S23" s="57" t="s">
        <v>107</v>
      </c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</row>
    <row r="24" ht="15" customHeight="1">
      <c r="B24" s="53"/>
      <c r="F24" s="102" t="s">
        <v>108</v>
      </c>
      <c r="G24" s="323">
        <v>44099</v>
      </c>
      <c r="H24" s="324"/>
      <c r="I24" s="74">
        <v>0</v>
      </c>
      <c r="J24" s="75">
        <v>0</v>
      </c>
      <c r="P24" s="103" t="s">
        <v>109</v>
      </c>
      <c r="Q24" s="144">
        <v>44336</v>
      </c>
      <c r="R24" s="72">
        <f>IF(Q24="N/A",0,Q24-MAX($G$24:$H$27))</f>
        <v>178</v>
      </c>
      <c r="S24" s="76">
        <f>$J$27+SUM($R$24:R24)</f>
        <v>237</v>
      </c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</row>
    <row r="25" ht="15" customHeight="1">
      <c r="B25" s="53"/>
      <c r="F25" s="102" t="s">
        <v>110</v>
      </c>
      <c r="G25" s="323">
        <v>44099</v>
      </c>
      <c r="H25" s="324"/>
      <c r="I25" s="74">
        <f>IF(G25="N/A",0,G25-MAX($G$24:H24))</f>
        <v>0</v>
      </c>
      <c r="J25" s="75">
        <f>SUM($I$24:I25)</f>
        <v>0</v>
      </c>
      <c r="P25" s="103" t="s">
        <v>111</v>
      </c>
      <c r="Q25" s="144">
        <v>44364</v>
      </c>
      <c r="R25" s="72">
        <f>IF(Q25="N/A",0,Q25-MAX($G$24:$H$27,$Q$24:Q24))</f>
        <v>28</v>
      </c>
      <c r="S25" s="76">
        <f>$J$27+SUM($R$24:R25)</f>
        <v>265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</row>
    <row r="26" ht="15" customHeight="1">
      <c r="B26" s="53"/>
      <c r="F26" s="102" t="s">
        <v>112</v>
      </c>
      <c r="G26" s="323">
        <v>44123</v>
      </c>
      <c r="H26" s="324"/>
      <c r="I26" s="72">
        <f>IF(G26="N/A",0,G26-MAX($G$24:H25))</f>
        <v>24</v>
      </c>
      <c r="J26" s="73">
        <f>SUM($I$26:I26)</f>
        <v>24</v>
      </c>
      <c r="P26" s="103" t="s">
        <v>113</v>
      </c>
      <c r="Q26" s="144">
        <v>44365</v>
      </c>
      <c r="R26" s="72">
        <f>IF(Q26="N/A",0,Q26-MAX($G$24:$H$27,$Q$24:Q25))</f>
        <v>1</v>
      </c>
      <c r="S26" s="76">
        <f>$J$27+SUM($R$24:R26)</f>
        <v>266</v>
      </c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</row>
    <row r="27" ht="15" customHeight="1">
      <c r="B27" s="53"/>
      <c r="F27" s="102" t="s">
        <v>114</v>
      </c>
      <c r="G27" s="323">
        <v>44158</v>
      </c>
      <c r="H27" s="324"/>
      <c r="I27" s="72">
        <f>IF(G27="N/A",0,G27-MAX($G$24:H26))</f>
        <v>35</v>
      </c>
      <c r="J27" s="73">
        <f>SUM($I$26:I27)</f>
        <v>59</v>
      </c>
      <c r="P27" s="103" t="s">
        <v>115</v>
      </c>
      <c r="Q27" s="144">
        <v>44421</v>
      </c>
      <c r="R27" s="72">
        <f>IF(Q27="N/A",0,Q27-MAX($G$24:$H$27,$Q$24:Q26))</f>
        <v>56</v>
      </c>
      <c r="S27" s="76">
        <f>$J$27+SUM($R$24:R27)</f>
        <v>322</v>
      </c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</row>
    <row r="28" ht="12" customHeight="1">
      <c r="B28" s="53"/>
      <c r="S28" s="5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</row>
    <row r="29" ht="17.25" customHeight="1">
      <c r="B29" s="53"/>
      <c r="C29" s="293" t="s">
        <v>116</v>
      </c>
      <c r="D29" s="293"/>
      <c r="E29" s="293"/>
      <c r="F29" s="293" t="s">
        <v>117</v>
      </c>
      <c r="G29" s="293"/>
      <c r="H29" s="293"/>
      <c r="I29" s="293" t="s">
        <v>118</v>
      </c>
      <c r="J29" s="293"/>
      <c r="Q29" s="60">
        <f>126+30</f>
        <v>156</v>
      </c>
      <c r="R29" s="294" t="str">
        <f>IF(Q27&lt;=Q30,"DENTRO DO PRAZO","FORA DO PRAZO")</f>
        <v>FORA DO PRAZO</v>
      </c>
      <c r="S29" s="295"/>
    </row>
    <row r="30" ht="26.25" customHeight="1">
      <c r="B30" s="53"/>
      <c r="C30" s="300">
        <f>I13</f>
        <v>44292027.329382375</v>
      </c>
      <c r="D30" s="300"/>
      <c r="E30" s="300"/>
      <c r="F30" s="319">
        <f>R3</f>
        <v>47961644.36</v>
      </c>
      <c r="G30" s="319"/>
      <c r="H30" s="319"/>
      <c r="I30" s="109">
        <f>C30-F30</f>
        <v>-3669617.0306176245</v>
      </c>
      <c r="J30" s="112">
        <f>C30/F30-1</f>
        <v>-0.07651149328979401</v>
      </c>
      <c r="Q30" s="58">
        <f>G24+Q29</f>
        <v>44255</v>
      </c>
      <c r="R30" s="320" t="s">
        <v>119</v>
      </c>
      <c r="S30" s="321"/>
    </row>
    <row r="31" ht="16.5" customHeight="1">
      <c r="B31" s="53"/>
      <c r="C31" s="300"/>
      <c r="D31" s="300"/>
      <c r="E31" s="300"/>
      <c r="F31" s="322" t="s">
        <v>120</v>
      </c>
      <c r="G31" s="322"/>
      <c r="H31" s="322"/>
      <c r="I31" s="293" t="s">
        <v>121</v>
      </c>
      <c r="J31" s="293"/>
      <c r="Q31" s="325" t="s">
        <v>122</v>
      </c>
      <c r="R31" s="326"/>
      <c r="S31" s="327"/>
    </row>
    <row r="32" ht="16.5" customHeight="1">
      <c r="B32" s="53"/>
      <c r="C32" s="300"/>
      <c r="D32" s="300"/>
      <c r="E32" s="300"/>
      <c r="F32" s="319">
        <f>SMALL(I12:S12,1)</f>
        <v>49025305.34</v>
      </c>
      <c r="G32" s="319"/>
      <c r="H32" s="319"/>
      <c r="I32" s="109">
        <f>C30-F32</f>
        <v>-4733278.010617629</v>
      </c>
      <c r="J32" s="113">
        <f>C30/F32-1</f>
        <v>-0.09654764978599173</v>
      </c>
      <c r="Q32" s="328"/>
      <c r="R32" s="329"/>
      <c r="S32" s="330"/>
    </row>
    <row r="33" ht="4.5" customHeight="1">
      <c r="B33" s="61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3"/>
      <c r="Q33" s="63"/>
      <c r="R33" s="63"/>
      <c r="S33" s="64"/>
    </row>
    <row r="34" ht="6" customHeight="1"/>
    <row r="35" ht="15.75" customHeight="1">
      <c r="B35" s="360" t="s">
        <v>123</v>
      </c>
      <c r="C35" s="361"/>
      <c r="D35" s="361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2"/>
    </row>
    <row r="36" ht="18" customHeight="1">
      <c r="B36" s="53" t="s">
        <v>124</v>
      </c>
      <c r="C36" s="48" t="s">
        <v>125</v>
      </c>
      <c r="H36" s="79" t="s">
        <v>126</v>
      </c>
      <c r="I36" s="278"/>
      <c r="J36" s="280"/>
      <c r="K36" s="287"/>
      <c r="L36" s="77" t="s">
        <v>127</v>
      </c>
      <c r="M36" s="48" t="s">
        <v>128</v>
      </c>
      <c r="N36" s="48"/>
      <c r="O36" s="48"/>
      <c r="Q36" s="66" t="s">
        <v>129</v>
      </c>
      <c r="R36" s="239" t="s">
        <v>130</v>
      </c>
      <c r="S36" s="240"/>
    </row>
    <row r="37" ht="12" customHeight="1">
      <c r="B37" s="65"/>
      <c r="C37" s="48"/>
      <c r="H37" s="80"/>
      <c r="I37" s="281"/>
      <c r="J37" s="283"/>
      <c r="K37" s="287"/>
      <c r="L37" s="69"/>
      <c r="M37" s="48"/>
      <c r="N37" s="48"/>
      <c r="O37" s="48"/>
      <c r="Q37" s="66"/>
      <c r="R37" s="94"/>
      <c r="S37" s="95"/>
    </row>
    <row r="38" ht="14.25" customHeight="1">
      <c r="B38" s="53" t="s">
        <v>124</v>
      </c>
      <c r="C38" s="48" t="s">
        <v>131</v>
      </c>
      <c r="E38" s="297" t="s">
        <v>130</v>
      </c>
      <c r="F38" s="298"/>
      <c r="G38" s="299"/>
      <c r="I38" s="281"/>
      <c r="J38" s="283"/>
      <c r="K38" s="287"/>
      <c r="L38" s="77"/>
      <c r="M38" s="48"/>
      <c r="N38" s="48"/>
      <c r="O38" s="48"/>
      <c r="Q38" s="68" t="s">
        <v>132</v>
      </c>
      <c r="R38" s="239" t="s">
        <v>130</v>
      </c>
      <c r="S38" s="240"/>
    </row>
    <row r="39" ht="11.25" customHeight="1">
      <c r="B39" s="65"/>
      <c r="C39" s="48"/>
      <c r="E39" s="18"/>
      <c r="F39" s="18"/>
      <c r="G39" s="18"/>
      <c r="I39" s="284"/>
      <c r="J39" s="286"/>
      <c r="K39" s="287"/>
      <c r="L39" s="77"/>
      <c r="M39" s="48"/>
      <c r="N39" s="48"/>
      <c r="O39" s="48"/>
      <c r="Q39" s="68"/>
      <c r="R39" s="18"/>
      <c r="S39" s="67"/>
    </row>
    <row r="40" ht="20.25" customHeight="1">
      <c r="B40" s="53"/>
      <c r="I40" s="274"/>
      <c r="J40" s="274"/>
      <c r="K40" s="273"/>
      <c r="L40" s="77"/>
      <c r="M40" s="69"/>
      <c r="O40" s="69"/>
      <c r="P40" s="69" t="s">
        <v>126</v>
      </c>
      <c r="Q40" s="230" t="s">
        <v>130</v>
      </c>
      <c r="R40" s="231"/>
      <c r="S40" s="259"/>
    </row>
    <row r="41" ht="14.25" customHeight="1">
      <c r="B41" s="53"/>
      <c r="I41" s="273"/>
      <c r="J41" s="273"/>
      <c r="K41" s="273"/>
      <c r="L41" s="77"/>
      <c r="N41" s="48"/>
      <c r="O41" s="48"/>
      <c r="Q41" s="233"/>
      <c r="R41" s="234"/>
      <c r="S41" s="260"/>
    </row>
    <row r="42" ht="16.5" customHeight="1">
      <c r="B42" s="53" t="s">
        <v>127</v>
      </c>
      <c r="C42" s="48" t="s">
        <v>133</v>
      </c>
      <c r="E42" s="70" t="s">
        <v>134</v>
      </c>
      <c r="H42" s="239" t="s">
        <v>130</v>
      </c>
      <c r="I42" s="241"/>
      <c r="J42" s="242"/>
      <c r="L42" s="77"/>
      <c r="N42" s="48"/>
      <c r="O42" s="48"/>
      <c r="Q42" s="233"/>
      <c r="R42" s="234"/>
      <c r="S42" s="260"/>
    </row>
    <row r="43" ht="9.75" customHeight="1">
      <c r="B43" s="65"/>
      <c r="C43" s="48"/>
      <c r="E43" s="70"/>
      <c r="H43" s="30"/>
      <c r="I43" s="30"/>
      <c r="J43" s="30"/>
      <c r="L43" s="77"/>
      <c r="N43" s="48"/>
      <c r="O43" s="48"/>
      <c r="Q43" s="233"/>
      <c r="R43" s="234"/>
      <c r="S43" s="260"/>
    </row>
    <row r="44" ht="18" customHeight="1">
      <c r="B44" s="65"/>
      <c r="C44" s="48"/>
      <c r="E44" s="48" t="s">
        <v>135</v>
      </c>
      <c r="H44" s="239" t="s">
        <v>130</v>
      </c>
      <c r="I44" s="241"/>
      <c r="J44" s="242"/>
      <c r="L44" s="77"/>
      <c r="N44" s="48"/>
      <c r="O44" s="48"/>
      <c r="Q44" s="233"/>
      <c r="R44" s="234"/>
      <c r="S44" s="260"/>
    </row>
    <row r="45" ht="9.75" customHeight="1">
      <c r="B45" s="65"/>
      <c r="C45" s="48"/>
      <c r="E45" s="48"/>
      <c r="H45" s="30"/>
      <c r="I45" s="30"/>
      <c r="J45" s="30"/>
      <c r="L45" s="77"/>
      <c r="N45" s="48"/>
      <c r="O45" s="48"/>
      <c r="Q45" s="233"/>
      <c r="R45" s="234"/>
      <c r="S45" s="260"/>
    </row>
    <row r="46" ht="14.25" customHeight="1">
      <c r="B46" s="53"/>
      <c r="E46" s="48" t="s">
        <v>136</v>
      </c>
      <c r="H46" s="239" t="s">
        <v>130</v>
      </c>
      <c r="I46" s="241"/>
      <c r="J46" s="242"/>
      <c r="L46" s="77"/>
      <c r="P46" s="19"/>
      <c r="Q46" s="236"/>
      <c r="R46" s="237"/>
      <c r="S46" s="296"/>
    </row>
    <row r="47" ht="6.75" customHeight="1">
      <c r="B47" s="53"/>
      <c r="E47" s="48"/>
      <c r="L47" s="77"/>
      <c r="P47" s="19"/>
      <c r="Q47" s="100"/>
      <c r="R47" s="39"/>
      <c r="S47" s="101"/>
    </row>
    <row r="48" ht="15" customHeight="1">
      <c r="B48" s="53"/>
      <c r="E48" s="48"/>
      <c r="H48" s="278" t="s">
        <v>130</v>
      </c>
      <c r="I48" s="279"/>
      <c r="J48" s="280"/>
      <c r="L48" s="77" t="s">
        <v>127</v>
      </c>
      <c r="M48" s="48" t="s">
        <v>137</v>
      </c>
      <c r="Q48" s="79" t="s">
        <v>131</v>
      </c>
      <c r="R48" s="239" t="s">
        <v>130</v>
      </c>
      <c r="S48" s="240"/>
    </row>
    <row r="49" ht="12.75" customHeight="1">
      <c r="B49" s="53" t="s">
        <v>124</v>
      </c>
      <c r="C49" s="48" t="s">
        <v>138</v>
      </c>
      <c r="E49" s="48"/>
      <c r="H49" s="281"/>
      <c r="I49" s="282"/>
      <c r="J49" s="283"/>
      <c r="L49" s="77"/>
      <c r="M49" s="48" t="s">
        <v>139</v>
      </c>
      <c r="S49" s="59"/>
    </row>
    <row r="50" ht="14.25" customHeight="1">
      <c r="B50" s="53"/>
      <c r="C50" s="48" t="s">
        <v>140</v>
      </c>
      <c r="E50" s="48"/>
      <c r="H50" s="281"/>
      <c r="I50" s="282"/>
      <c r="J50" s="283"/>
      <c r="L50" s="77"/>
      <c r="P50" s="117"/>
      <c r="Q50" s="278" t="s">
        <v>130</v>
      </c>
      <c r="R50" s="279"/>
      <c r="S50" s="288"/>
    </row>
    <row r="51" ht="11.25" customHeight="1">
      <c r="B51" s="53"/>
      <c r="C51" s="48"/>
      <c r="E51" s="48"/>
      <c r="H51" s="281"/>
      <c r="I51" s="282"/>
      <c r="J51" s="283"/>
      <c r="L51" s="77"/>
      <c r="P51" s="117"/>
      <c r="Q51" s="281"/>
      <c r="R51" s="282"/>
      <c r="S51" s="289"/>
    </row>
    <row r="52" ht="12.75" customHeight="1">
      <c r="B52" s="53"/>
      <c r="C52" s="48"/>
      <c r="E52" s="48"/>
      <c r="H52" s="281"/>
      <c r="I52" s="282"/>
      <c r="J52" s="283"/>
      <c r="L52" s="77"/>
      <c r="P52" s="117"/>
      <c r="Q52" s="281"/>
      <c r="R52" s="282"/>
      <c r="S52" s="289"/>
    </row>
    <row r="53" ht="17.25" customHeight="1">
      <c r="B53" s="53"/>
      <c r="C53" s="48"/>
      <c r="E53" s="48"/>
      <c r="H53" s="284"/>
      <c r="I53" s="285"/>
      <c r="J53" s="286"/>
      <c r="L53" s="77"/>
      <c r="P53" s="117"/>
      <c r="Q53" s="284"/>
      <c r="R53" s="285"/>
      <c r="S53" s="290"/>
    </row>
    <row r="54" ht="12" customHeight="1">
      <c r="B54" s="53"/>
      <c r="C54" s="48"/>
      <c r="E54" s="48"/>
      <c r="H54" s="274"/>
      <c r="I54" s="274"/>
      <c r="J54" s="274"/>
      <c r="L54" s="77"/>
      <c r="P54" s="118"/>
      <c r="Q54" s="118"/>
      <c r="R54" s="118"/>
      <c r="S54" s="119"/>
    </row>
    <row r="55" ht="15.75" customHeight="1">
      <c r="B55" s="53"/>
      <c r="E55" s="48"/>
      <c r="H55" s="273"/>
      <c r="I55" s="273"/>
      <c r="J55" s="273"/>
      <c r="L55" s="77" t="s">
        <v>124</v>
      </c>
      <c r="M55" s="71" t="s">
        <v>141</v>
      </c>
      <c r="P55" s="230" t="s">
        <v>142</v>
      </c>
      <c r="Q55" s="231"/>
      <c r="R55" s="231"/>
      <c r="S55" s="259"/>
    </row>
    <row r="56" ht="8.25" customHeight="1">
      <c r="B56" s="53"/>
      <c r="E56" s="48"/>
      <c r="H56" s="92"/>
      <c r="I56" s="92"/>
      <c r="J56" s="92"/>
      <c r="L56" s="77"/>
      <c r="P56" s="233"/>
      <c r="Q56" s="234"/>
      <c r="R56" s="234"/>
      <c r="S56" s="260"/>
    </row>
    <row r="57" ht="15.75" customHeight="1">
      <c r="B57" s="53" t="s">
        <v>143</v>
      </c>
      <c r="C57" s="48" t="s">
        <v>144</v>
      </c>
      <c r="G57" s="69" t="s">
        <v>126</v>
      </c>
      <c r="H57" s="230" t="s">
        <v>145</v>
      </c>
      <c r="I57" s="231"/>
      <c r="J57" s="232"/>
      <c r="K57" s="48"/>
      <c r="L57" s="77" t="s">
        <v>146</v>
      </c>
      <c r="M57" s="19" t="s">
        <v>147</v>
      </c>
      <c r="P57" s="233"/>
      <c r="Q57" s="234"/>
      <c r="R57" s="234"/>
      <c r="S57" s="260"/>
    </row>
    <row r="58" ht="29.25" customHeight="1">
      <c r="B58" s="65"/>
      <c r="C58" s="98" t="s">
        <v>148</v>
      </c>
      <c r="H58" s="233"/>
      <c r="I58" s="234"/>
      <c r="J58" s="235"/>
      <c r="K58" s="48"/>
      <c r="L58" s="48"/>
      <c r="M58" s="48"/>
      <c r="N58" s="48"/>
      <c r="P58" s="233"/>
      <c r="Q58" s="234"/>
      <c r="R58" s="234"/>
      <c r="S58" s="260"/>
    </row>
    <row r="59" ht="3" customHeight="1">
      <c r="B59" s="53"/>
      <c r="G59" s="78"/>
      <c r="H59" s="236"/>
      <c r="I59" s="237"/>
      <c r="J59" s="238"/>
      <c r="K59" s="48"/>
      <c r="L59" s="48"/>
      <c r="M59" s="48"/>
      <c r="N59" s="48"/>
      <c r="P59" s="114"/>
      <c r="Q59" s="115"/>
      <c r="R59" s="115"/>
      <c r="S59" s="116"/>
    </row>
    <row r="60" ht="6.75" customHeight="1">
      <c r="B60" s="61"/>
      <c r="C60" s="62"/>
      <c r="D60" s="62"/>
      <c r="E60" s="62"/>
      <c r="F60" s="62"/>
      <c r="G60" s="62"/>
      <c r="H60" s="81"/>
      <c r="I60" s="81"/>
      <c r="J60" s="81"/>
      <c r="K60" s="63"/>
      <c r="L60" s="63"/>
      <c r="M60" s="63"/>
      <c r="N60" s="63"/>
      <c r="O60" s="62"/>
      <c r="P60" s="81"/>
      <c r="Q60" s="81"/>
      <c r="R60" s="81"/>
      <c r="S60" s="82"/>
    </row>
    <row r="61" ht="5.1" customHeight="1">
      <c r="B61" s="53"/>
      <c r="E61" s="48"/>
      <c r="S61" s="59"/>
    </row>
    <row r="62" ht="368.25" customHeight="1">
      <c r="B62" s="351" t="s">
        <v>75</v>
      </c>
      <c r="C62" s="352"/>
      <c r="D62" s="263" t="s">
        <v>149</v>
      </c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264"/>
      <c r="Q62" s="264"/>
      <c r="R62" s="264"/>
      <c r="S62" s="265"/>
    </row>
    <row r="63" ht="271.5" customHeight="1">
      <c r="B63" s="353"/>
      <c r="C63" s="354"/>
      <c r="D63" s="350" t="s">
        <v>150</v>
      </c>
      <c r="E63" s="234"/>
      <c r="F63" s="234"/>
      <c r="G63" s="234"/>
      <c r="H63" s="234"/>
      <c r="I63" s="234"/>
      <c r="J63" s="234"/>
      <c r="K63" s="234"/>
      <c r="L63" s="234"/>
      <c r="M63" s="234"/>
      <c r="N63" s="234"/>
      <c r="O63" s="234"/>
      <c r="P63" s="234"/>
      <c r="Q63" s="234"/>
      <c r="R63" s="234"/>
      <c r="S63" s="260"/>
    </row>
    <row r="64" ht="409.5" customHeight="1">
      <c r="B64" s="355"/>
      <c r="C64" s="356"/>
      <c r="D64" s="357" t="s">
        <v>151</v>
      </c>
      <c r="E64" s="358"/>
      <c r="F64" s="358"/>
      <c r="G64" s="358"/>
      <c r="H64" s="358"/>
      <c r="I64" s="358"/>
      <c r="J64" s="358"/>
      <c r="K64" s="358"/>
      <c r="L64" s="358"/>
      <c r="M64" s="358"/>
      <c r="N64" s="358"/>
      <c r="O64" s="358"/>
      <c r="P64" s="358"/>
      <c r="Q64" s="358"/>
      <c r="R64" s="358"/>
      <c r="S64" s="359"/>
    </row>
    <row r="65" ht="32.1" customHeight="1">
      <c r="B65" s="247" t="s">
        <v>76</v>
      </c>
      <c r="C65" s="248"/>
      <c r="D65" s="248"/>
      <c r="E65" s="249" t="s">
        <v>152</v>
      </c>
      <c r="F65" s="249"/>
      <c r="G65" s="249"/>
      <c r="H65" s="249"/>
      <c r="I65" s="249"/>
      <c r="J65" s="249"/>
      <c r="K65" s="250" t="s">
        <v>153</v>
      </c>
      <c r="L65" s="250"/>
      <c r="M65" s="250"/>
      <c r="N65" s="250"/>
      <c r="O65" s="250"/>
      <c r="P65" s="251">
        <f>C30</f>
        <v>44292027.329382375</v>
      </c>
      <c r="Q65" s="251"/>
      <c r="R65" s="128" t="s">
        <v>154</v>
      </c>
      <c r="S65" s="129" t="s">
        <v>155</v>
      </c>
    </row>
    <row r="66" ht="30.75" customHeight="1">
      <c r="B66" s="252" t="s">
        <v>79</v>
      </c>
      <c r="C66" s="253"/>
      <c r="D66" s="253"/>
      <c r="E66" s="254" t="s">
        <v>80</v>
      </c>
      <c r="F66" s="254"/>
      <c r="G66" s="254"/>
      <c r="H66" s="253" t="s">
        <v>156</v>
      </c>
      <c r="I66" s="253"/>
      <c r="J66" s="111" t="s">
        <v>157</v>
      </c>
      <c r="K66" s="256" t="s">
        <v>84</v>
      </c>
      <c r="L66" s="257"/>
      <c r="M66" s="257"/>
      <c r="N66" s="258"/>
      <c r="O66" s="255" t="s">
        <v>158</v>
      </c>
      <c r="P66" s="255"/>
      <c r="Q66" s="143" t="s">
        <v>159</v>
      </c>
      <c r="R66" s="110" t="s">
        <v>160</v>
      </c>
      <c r="S66" s="261">
        <v>36</v>
      </c>
    </row>
    <row r="67" ht="33" customHeight="1">
      <c r="B67" s="243" t="s">
        <v>88</v>
      </c>
      <c r="C67" s="244"/>
      <c r="D67" s="244"/>
      <c r="E67" s="245" t="s">
        <v>161</v>
      </c>
      <c r="F67" s="245"/>
      <c r="G67" s="245"/>
      <c r="H67" s="244" t="s">
        <v>88</v>
      </c>
      <c r="I67" s="244"/>
      <c r="J67" s="84"/>
      <c r="K67" s="246" t="s">
        <v>88</v>
      </c>
      <c r="L67" s="246"/>
      <c r="M67" s="246"/>
      <c r="N67" s="246"/>
      <c r="O67" s="228" t="s">
        <v>161</v>
      </c>
      <c r="P67" s="229"/>
      <c r="Q67" s="142" t="s">
        <v>88</v>
      </c>
      <c r="R67" s="93"/>
      <c r="S67" s="262"/>
    </row>
    <row r="68" ht="15" customHeight="1"/>
    <row r="69" ht="15" customHeight="1"/>
    <row r="70" ht="15" customHeight="1"/>
  </sheetData>
  <sheetProtection formatCells="0" formatColumns="0" formatRows="0" insertRows="0" deleteRows="0"/>
  <dataConsolidate function="max"/>
  <mergeCells>
    <mergeCell ref="D63:S63"/>
    <mergeCell ref="B62:C64"/>
    <mergeCell ref="D64:S64"/>
    <mergeCell ref="H44:J44"/>
    <mergeCell ref="H46:J46"/>
    <mergeCell ref="B35:S35"/>
    <mergeCell ref="C29:E29"/>
    <mergeCell ref="R3:S3"/>
    <mergeCell ref="O3:P3"/>
    <mergeCell ref="K3:N3"/>
    <mergeCell ref="B4:C5"/>
    <mergeCell ref="D4:Q5"/>
    <mergeCell ref="K13:N13"/>
    <mergeCell ref="O13:P13"/>
    <mergeCell ref="K14:N14"/>
    <mergeCell ref="O14:P14"/>
    <mergeCell ref="K9:N9"/>
    <mergeCell ref="O9:P9"/>
    <mergeCell ref="K12:N12"/>
    <mergeCell ref="O12:P12"/>
    <mergeCell ref="B6:C7"/>
    <mergeCell ref="D6:Q7"/>
    <mergeCell ref="R4:S4"/>
    <mergeCell ref="R5:S5"/>
    <mergeCell ref="B3:C3"/>
    <mergeCell ref="D3:E3"/>
    <mergeCell ref="F30:H30"/>
    <mergeCell ref="R30:S30"/>
    <mergeCell ref="F31:H31"/>
    <mergeCell ref="I31:J31"/>
    <mergeCell ref="F32:H32"/>
    <mergeCell ref="F29:H29"/>
    <mergeCell ref="G24:H24"/>
    <mergeCell ref="G25:H25"/>
    <mergeCell ref="G26:H26"/>
    <mergeCell ref="G27:H27"/>
    <mergeCell ref="Q31:S32"/>
    <mergeCell ref="H3:I3"/>
    <mergeCell ref="R6:S6"/>
    <mergeCell ref="R7:S7"/>
    <mergeCell ref="B8:S8"/>
    <mergeCell ref="B9:H9"/>
    <mergeCell ref="B10:H10"/>
    <mergeCell ref="K10:N10"/>
    <mergeCell ref="O10:P10"/>
    <mergeCell ref="K11:N11"/>
    <mergeCell ref="O11:P11"/>
    <mergeCell ref="O15:P15"/>
    <mergeCell ref="P1:S1"/>
    <mergeCell ref="B2:C2"/>
    <mergeCell ref="D2:E2"/>
    <mergeCell ref="H2:I2"/>
    <mergeCell ref="R2:S2"/>
    <mergeCell ref="O2:P2"/>
    <mergeCell ref="K2:N2"/>
    <mergeCell ref="B1:C1"/>
    <mergeCell ref="D1:O1"/>
    <mergeCell ref="O17:P17"/>
    <mergeCell ref="K19:N19"/>
    <mergeCell ref="O19:P19"/>
    <mergeCell ref="K18:N18"/>
    <mergeCell ref="O18:P18"/>
    <mergeCell ref="H55:J55"/>
    <mergeCell ref="H54:J54"/>
    <mergeCell ref="B20:S20"/>
    <mergeCell ref="H48:J53"/>
    <mergeCell ref="I41:K41"/>
    <mergeCell ref="I40:K40"/>
    <mergeCell ref="I36:J39"/>
    <mergeCell ref="K36:K39"/>
    <mergeCell ref="Q50:S53"/>
    <mergeCell ref="G23:H23"/>
    <mergeCell ref="I29:J29"/>
    <mergeCell ref="R48:S48"/>
    <mergeCell ref="R29:S29"/>
    <mergeCell ref="Q40:S46"/>
    <mergeCell ref="R36:S36"/>
    <mergeCell ref="E38:G38"/>
    <mergeCell ref="C30:E32"/>
    <mergeCell ref="K15:N15"/>
    <mergeCell ref="O67:P67"/>
    <mergeCell ref="H57:J59"/>
    <mergeCell ref="R38:S38"/>
    <mergeCell ref="H42:J42"/>
    <mergeCell ref="B67:D67"/>
    <mergeCell ref="E67:G67"/>
    <mergeCell ref="H67:I67"/>
    <mergeCell ref="K67:N67"/>
    <mergeCell ref="B65:D65"/>
    <mergeCell ref="E65:J65"/>
    <mergeCell ref="K65:O65"/>
    <mergeCell ref="P65:Q65"/>
    <mergeCell ref="B66:D66"/>
    <mergeCell ref="E66:G66"/>
    <mergeCell ref="H66:I66"/>
    <mergeCell ref="O66:P66"/>
    <mergeCell ref="K66:N66"/>
    <mergeCell ref="P55:S58"/>
    <mergeCell ref="S66:S67"/>
    <mergeCell ref="D62:S62"/>
    <mergeCell ref="K16:N16"/>
    <mergeCell ref="O16:P16"/>
    <mergeCell ref="K17:N17"/>
  </mergeCells>
  <conditionalFormatting sqref="I10:K10 O19 O10:O17 I11 K11 I14:K19 Q10:S19">
    <cfRule type="expression" dxfId="0" priority="20" stopIfTrue="1">
      <formula>I$11=""</formula>
    </cfRule>
  </conditionalFormatting>
  <conditionalFormatting sqref="O18">
    <cfRule type="expression" dxfId="0" priority="21" stopIfTrue="1">
      <formula>#REF!=""</formula>
    </cfRule>
  </conditionalFormatting>
  <conditionalFormatting sqref="F30:F32 C30">
    <cfRule type="cellIs" dxfId="3" priority="19" stopIfTrue="1" operator="equal">
      <formula>0</formula>
    </cfRule>
  </conditionalFormatting>
  <conditionalFormatting sqref="G24">
    <cfRule type="cellIs" dxfId="3" priority="18" stopIfTrue="1" operator="equal">
      <formula>0</formula>
    </cfRule>
  </conditionalFormatting>
  <conditionalFormatting sqref="Q24:Q27">
    <cfRule type="cellIs" dxfId="3" priority="17" stopIfTrue="1" operator="equal">
      <formula>0</formula>
    </cfRule>
  </conditionalFormatting>
  <conditionalFormatting sqref="R29">
    <cfRule type="cellIs" dxfId="15" priority="15" stopIfTrue="1" operator="equal">
      <formula>"FORA DO PRAZO"</formula>
    </cfRule>
    <cfRule type="cellIs" dxfId="14" priority="16" stopIfTrue="1" operator="equal">
      <formula>"DENTRO DO PRAZO"</formula>
    </cfRule>
  </conditionalFormatting>
  <conditionalFormatting sqref="I13">
    <cfRule type="expression" dxfId="0" priority="14" stopIfTrue="1">
      <formula>I$11=""</formula>
    </cfRule>
  </conditionalFormatting>
  <conditionalFormatting sqref="I12">
    <cfRule type="expression" dxfId="0" priority="13" stopIfTrue="1">
      <formula>I$11=""</formula>
    </cfRule>
  </conditionalFormatting>
  <conditionalFormatting sqref="G25">
    <cfRule type="cellIs" dxfId="3" priority="9" stopIfTrue="1" operator="equal">
      <formula>0</formula>
    </cfRule>
  </conditionalFormatting>
  <conditionalFormatting sqref="G26">
    <cfRule type="cellIs" dxfId="3" priority="8" stopIfTrue="1" operator="equal">
      <formula>0</formula>
    </cfRule>
  </conditionalFormatting>
  <conditionalFormatting sqref="G27">
    <cfRule type="cellIs" dxfId="3" priority="7" stopIfTrue="1" operator="equal">
      <formula>0</formula>
    </cfRule>
  </conditionalFormatting>
  <conditionalFormatting sqref="K13">
    <cfRule type="expression" dxfId="0" priority="6" stopIfTrue="1">
      <formula>K$11=""</formula>
    </cfRule>
  </conditionalFormatting>
  <conditionalFormatting sqref="K12">
    <cfRule type="expression" dxfId="0" priority="5" stopIfTrue="1">
      <formula>K$11=""</formula>
    </cfRule>
  </conditionalFormatting>
  <conditionalFormatting sqref="J11">
    <cfRule type="expression" dxfId="0" priority="4" stopIfTrue="1">
      <formula>J$11=""</formula>
    </cfRule>
  </conditionalFormatting>
  <conditionalFormatting sqref="J13">
    <cfRule type="expression" dxfId="0" priority="1" stopIfTrue="1">
      <formula>J$11=""</formula>
    </cfRule>
  </conditionalFormatting>
  <dataValidations count="5">
    <dataValidation type="list" allowBlank="1" showInputMessage="1" sqref="S65" xr:uid="{00000000-0002-0000-0000-000000000000}">
      <formula1>"DIA(S),MÊS(ES),ANO(S)"</formula1>
    </dataValidation>
    <dataValidation operator="greaterThan" allowBlank="1" showInputMessage="1" showErrorMessage="1" errorTitle="Atenção" error="Digite a data correta" sqref="Q29" xr:uid="{00000000-0002-0000-0000-000001000000}"/>
    <dataValidation operator="greaterThan" showInputMessage="1" showErrorMessage="1" errorTitle="Atenção" error="Digite a data correta" sqref="R23 G23 I23" xr:uid="{00000000-0002-0000-0000-000002000000}"/>
    <dataValidation type="list" allowBlank="1" showInputMessage="1" showErrorMessage="1" sqref="H2" xr:uid="{00000000-0002-0000-0000-000003000000}">
      <formula1>"Serviço, Material,Serviço e Material"</formula1>
    </dataValidation>
    <dataValidation type="list" allowBlank="1" showInputMessage="1" showErrorMessage="1" sqref="H3 J3 R7" xr:uid="{00000000-0002-0000-0000-000004000000}">
      <formula1>"Sim, Não"</formula1>
    </dataValidation>
  </dataValidations>
  <printOptions horizontalCentered="1" verticalCentered="1"/>
  <pageMargins left="0.39370078740157483" right="0.19685039370078741" top="0.15748031496062992" bottom="7.874015748031496E-2" header="0" footer="0.15748031496062992"/>
  <pageSetup paperSize="9" scale="40" orientation="landscape" cellComments="asDisplayed"/>
  <headerFooter alignWithMargins="0"/>
  <ignoredErrors>
    <ignoredError sqref="I26:I27 R24:R27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D718F-187D-4682-92D1-385DA6FF6E4C}">
  <sheetPr codeName="Planilha1">
    <tabColor theme="9" tint="-0.249977111117893"/>
    <pageSetUpPr fitToPage="1"/>
  </sheetPr>
  <dimension ref="A1:W42"/>
  <sheetViews>
    <sheetView showGridLines="0" tabSelected="1" topLeftCell="B1" zoomScale="85" zoomScaleNormal="85" zoomScaleSheetLayoutView="37" workbookViewId="0">
      <selection activeCell="C4" sqref="C4:I5"/>
    </sheetView>
  </sheetViews>
  <sheetFormatPr defaultColWidth="0" defaultRowHeight="13.15"/>
  <cols>
    <col min="1" max="1" width="1.7109375" customWidth="1" style="19"/>
    <col min="2" max="2" width="24.7109375" customWidth="1" style="19"/>
    <col min="3" max="3" width="24.7109375" customWidth="1" style="19"/>
    <col min="4" max="4" width="24.7109375" customWidth="1" style="19"/>
    <col min="5" max="5" width="24.7109375" customWidth="1" style="19"/>
    <col min="6" max="6" width="24.7109375" customWidth="1" style="19"/>
    <col min="7" max="7" width="24.7109375" customWidth="1" style="19"/>
    <col min="8" max="8" width="24.7109375" customWidth="1" style="19"/>
    <col min="9" max="11" width="24.7109375" customWidth="1" style="48"/>
    <col min="12" max="12" width="18.5703125" customWidth="1" style="18"/>
    <col min="13" max="18" hidden="1" width="9.140625" customWidth="1" style="19"/>
    <col min="19" max="29" hidden="1" width="0" customWidth="1" style="19"/>
    <col min="30" max="35" hidden="1" width="9.140625" customWidth="1" style="19"/>
    <col min="36" max="48" hidden="1" width="0" customWidth="1" style="19"/>
    <col min="49" max="16384" hidden="1" width="9.140625" customWidth="1" style="19"/>
  </cols>
  <sheetData>
    <row r="1" ht="46.5" customHeight="1">
      <c r="B1" s="147"/>
      <c r="C1" s="315" t="s">
        <v>0</v>
      </c>
      <c r="D1" s="315"/>
      <c r="E1" s="315"/>
      <c r="F1" s="315"/>
      <c r="G1" s="315"/>
      <c r="H1" s="315"/>
      <c r="I1" s="301" t="s">
        <v>1</v>
      </c>
      <c r="J1" s="301"/>
      <c r="K1" s="302"/>
    </row>
    <row r="2" ht="20.1" customHeight="1">
      <c r="B2" s="146" t="s">
        <v>2</v>
      </c>
      <c r="C2" s="198" t="s">
        <v>3</v>
      </c>
      <c r="D2" s="153" t="s">
        <v>4</v>
      </c>
      <c r="E2" s="406" t="s">
        <v>5</v>
      </c>
      <c r="F2" s="407"/>
      <c r="G2" s="156" t="s">
        <v>6</v>
      </c>
      <c r="H2" s="156" t="s">
        <v>7</v>
      </c>
      <c r="I2" s="154" t="s">
        <v>8</v>
      </c>
      <c r="J2" s="404" t="s">
        <v>9</v>
      </c>
      <c r="K2" s="405"/>
      <c r="L2" s="22"/>
    </row>
    <row r="3" ht="24.95" customHeight="1" s="30" customFormat="1">
      <c r="B3" s="148" t="s">
        <v>10</v>
      </c>
      <c r="C3" s="198" t="s">
        <v>11</v>
      </c>
      <c r="D3" s="199" t="s">
        <v>12</v>
      </c>
      <c r="E3" s="408" t="s">
        <v>13</v>
      </c>
      <c r="F3" s="409"/>
      <c r="G3" s="200" t="s">
        <v>14</v>
      </c>
      <c r="H3" s="200" t="s">
        <v>15</v>
      </c>
      <c r="I3" s="201" t="s">
        <v>16</v>
      </c>
      <c r="J3" s="402">
        <v>47961644.36</v>
      </c>
      <c r="K3" s="403"/>
      <c r="L3" s="26"/>
    </row>
    <row r="4" ht="24.95" customHeight="1" s="30" customFormat="1">
      <c r="B4" s="316" t="s">
        <v>17</v>
      </c>
      <c r="C4" s="383" t="s">
        <v>18</v>
      </c>
      <c r="D4" s="383"/>
      <c r="E4" s="383"/>
      <c r="F4" s="383"/>
      <c r="G4" s="383"/>
      <c r="H4" s="383"/>
      <c r="I4" s="383"/>
      <c r="J4" s="385" t="s">
        <v>19</v>
      </c>
      <c r="K4" s="386"/>
      <c r="L4" s="26"/>
      <c r="R4" s="155">
        <f>IF(ISERROR(VLOOKUP(#REF!,$M$2:$M$31,1,FALSE)),"",VLOOKUP(#REF!,$M$2:$M$31,1,FALSE))</f>
      </c>
    </row>
    <row r="5" ht="24.95" customHeight="1" s="30" customFormat="1">
      <c r="B5" s="316"/>
      <c r="C5" s="383"/>
      <c r="D5" s="383"/>
      <c r="E5" s="383"/>
      <c r="F5" s="383"/>
      <c r="G5" s="383"/>
      <c r="H5" s="383"/>
      <c r="I5" s="383"/>
      <c r="J5" s="411" t="s">
        <v>20</v>
      </c>
      <c r="K5" s="412"/>
      <c r="L5" s="26"/>
    </row>
    <row r="6" ht="24.95" customHeight="1" s="30" customFormat="1">
      <c r="B6" s="316" t="s">
        <v>21</v>
      </c>
      <c r="C6" s="383" t="s">
        <v>22</v>
      </c>
      <c r="D6" s="383"/>
      <c r="E6" s="383"/>
      <c r="F6" s="383"/>
      <c r="G6" s="383"/>
      <c r="H6" s="383"/>
      <c r="I6" s="383"/>
      <c r="J6" s="385" t="s">
        <v>23</v>
      </c>
      <c r="K6" s="386"/>
      <c r="L6" s="26"/>
    </row>
    <row r="7" ht="24.95" customHeight="1" s="30" customFormat="1">
      <c r="B7" s="378"/>
      <c r="C7" s="384"/>
      <c r="D7" s="384"/>
      <c r="E7" s="384"/>
      <c r="F7" s="384"/>
      <c r="G7" s="384"/>
      <c r="H7" s="384"/>
      <c r="I7" s="384"/>
      <c r="J7" s="387" t="s">
        <v>24</v>
      </c>
      <c r="K7" s="388"/>
      <c r="L7" s="26"/>
    </row>
    <row r="8" ht="16.5" customHeight="1">
      <c r="B8" s="335" t="s">
        <v>25</v>
      </c>
      <c r="C8" s="336"/>
      <c r="D8" s="336"/>
      <c r="E8" s="336"/>
      <c r="F8" s="336"/>
      <c r="G8" s="336"/>
      <c r="H8" s="336"/>
      <c r="I8" s="336"/>
      <c r="J8" s="356"/>
      <c r="K8" s="410"/>
      <c r="L8" s="22"/>
    </row>
    <row r="9" ht="16.5" customHeight="1">
      <c r="B9" s="338" t="s">
        <v>26</v>
      </c>
      <c r="C9" s="339"/>
      <c r="D9" s="339"/>
      <c r="E9" s="33" t="s">
        <v>27</v>
      </c>
      <c r="F9" s="33" t="s">
        <v>28</v>
      </c>
      <c r="G9" s="149" t="s">
        <v>29</v>
      </c>
      <c r="H9" s="149" t="s">
        <v>30</v>
      </c>
      <c r="I9" s="34" t="s">
        <v>31</v>
      </c>
      <c r="J9" s="34" t="s">
        <v>32</v>
      </c>
      <c r="K9" s="35" t="s">
        <v>33</v>
      </c>
      <c r="L9" s="22"/>
    </row>
    <row r="10" ht="30.95" customHeight="1">
      <c r="B10" s="340" t="s">
        <v>34</v>
      </c>
      <c r="C10" s="341"/>
      <c r="D10" s="341"/>
      <c r="E10" s="165" t="s">
        <v>35</v>
      </c>
      <c r="F10" s="166" t="s">
        <v>36</v>
      </c>
      <c r="G10" s="167" t="s">
        <v>37</v>
      </c>
      <c r="H10" s="167" t="s">
        <v>38</v>
      </c>
      <c r="I10" s="168" t="s">
        <v>39</v>
      </c>
      <c r="J10" s="168" t="s">
        <v>40</v>
      </c>
      <c r="K10" s="169" t="s">
        <v>41</v>
      </c>
      <c r="L10" s="22"/>
    </row>
    <row r="11" ht="15" customHeight="1">
      <c r="B11" s="104" t="s">
        <v>42</v>
      </c>
      <c r="C11" s="108"/>
      <c r="D11" s="108"/>
      <c r="E11" s="202">
        <v>52154580.1502978</v>
      </c>
      <c r="F11" s="203">
        <v>65528600.4831027</v>
      </c>
      <c r="G11" s="204">
        <v>105778541.24</v>
      </c>
      <c r="H11" s="204">
        <v>113524826.48</v>
      </c>
      <c r="I11" s="204">
        <v>140515402.257547</v>
      </c>
      <c r="J11" s="204">
        <v>309721520.11</v>
      </c>
      <c r="K11" s="205">
        <v>0.0001</v>
      </c>
      <c r="L11" s="22"/>
    </row>
    <row r="12" ht="15" customHeight="1">
      <c r="B12" s="105" t="s">
        <v>43</v>
      </c>
      <c r="C12" s="90"/>
      <c r="D12" s="90"/>
      <c r="E12" s="206">
        <v>49025305.34</v>
      </c>
      <c r="F12" s="207">
        <v>59975281.61</v>
      </c>
      <c r="G12" s="208">
        <v>88430792.3</v>
      </c>
      <c r="H12" s="208">
        <v>0</v>
      </c>
      <c r="I12" s="208">
        <v>127814035.78</v>
      </c>
      <c r="J12" s="209">
        <v>304513492.6</v>
      </c>
      <c r="K12" s="210" t="s">
        <v>44</v>
      </c>
      <c r="L12" s="22"/>
    </row>
    <row r="13" ht="15" customHeight="1">
      <c r="B13" s="106" t="s">
        <v>45</v>
      </c>
      <c r="C13" s="90"/>
      <c r="D13" s="90"/>
      <c r="E13" s="211">
        <v>44292027.3293824</v>
      </c>
      <c r="F13" s="212">
        <v>58645797.0604159</v>
      </c>
      <c r="G13" s="213">
        <v>73719078.98</v>
      </c>
      <c r="H13" s="213" t="s">
        <v>44</v>
      </c>
      <c r="I13" s="213">
        <v>123900000</v>
      </c>
      <c r="J13" s="212">
        <v>304513492.6</v>
      </c>
      <c r="K13" s="214" t="s">
        <v>44</v>
      </c>
      <c r="L13" s="22"/>
    </row>
    <row r="14" ht="15" customHeight="1">
      <c r="B14" s="105" t="s">
        <v>46</v>
      </c>
      <c r="C14" s="90"/>
      <c r="D14" s="90"/>
      <c r="E14" s="170">
        <f>E11-E13</f>
        <v>7862552.820915401</v>
      </c>
      <c r="F14" s="171">
        <f>F11-F13</f>
        <v>6882803.4226868</v>
      </c>
      <c r="G14" s="172">
        <f>G11-G13</f>
        <v>32059462.25999999</v>
      </c>
      <c r="H14" s="172" t="s">
        <v>44</v>
      </c>
      <c r="I14" s="171">
        <f>I11-I13</f>
        <v>16615402.257546991</v>
      </c>
      <c r="J14" s="171">
        <f>J11-J13</f>
        <v>5208027.50999999</v>
      </c>
      <c r="K14" s="173" t="s">
        <v>44</v>
      </c>
      <c r="L14" s="45"/>
    </row>
    <row r="15" ht="15" customHeight="1">
      <c r="B15" s="105" t="s">
        <v>47</v>
      </c>
      <c r="C15" s="90"/>
      <c r="D15" s="90"/>
      <c r="E15" s="174">
        <f>(E13/E11)-1</f>
        <v>-0.1507547908210034</v>
      </c>
      <c r="F15" s="175">
        <f>(F13/F11)-1</f>
        <v>-0.1050351048541256</v>
      </c>
      <c r="G15" s="176">
        <f>(G13/G11)-1</f>
        <v>-0.30308096409895235</v>
      </c>
      <c r="H15" s="176" t="s">
        <v>44</v>
      </c>
      <c r="I15" s="175">
        <f>(I13/I11)-1</f>
        <v>-0.1182461281155005</v>
      </c>
      <c r="J15" s="175">
        <f>(J13/J11)-1</f>
        <v>-0.016815194204620743</v>
      </c>
      <c r="K15" s="177" t="s">
        <v>44</v>
      </c>
      <c r="L15" s="19"/>
    </row>
    <row r="16" ht="15" customHeight="1" s="48" customFormat="1">
      <c r="B16" s="105" t="s">
        <v>48</v>
      </c>
      <c r="C16" s="90"/>
      <c r="D16" s="90"/>
      <c r="E16" s="174">
        <f>IF(ISERROR(IF(E$11="","",IF(E13="","-",IF($J$3=0,"-",(IF(E13&gt;0,E13,E12)/$J$3-1))))),"",IF(E$11="","",IF(E13="","-",IF($J$3=0,"-",(IF(E13&gt;0,E13,E12)/$J$3-1)))))</f>
        <v>-0.07651149328979345</v>
      </c>
      <c r="F16" s="175">
        <f>IF(ISERROR(IF(F$11="","",IF(F13="","-",IF($J$3=0,"-",(IF(F13&gt;0,F13,F12)/$J$3-1))))),"",IF(F$11="","",IF(F13="","-",IF($J$3=0,"-",(IF(F13&gt;0,F13,F12)/$J$3-1)))))</f>
        <v>0.22276452033672323</v>
      </c>
      <c r="G16" s="176">
        <f>IF(ISERROR(IF(G$11="","",IF(G13="","-",IF($J$3=0,"-",(IF(G13&gt;0,G13,G12)/$J$3-1))))),"",IF(G$11="","",IF(G13="","-",IF($J$3=0,"-",(IF(G13&gt;0,G13,G12)/$J$3-1)))))</f>
        <v>0.5370423588204098</v>
      </c>
      <c r="H16" s="176" t="s">
        <v>44</v>
      </c>
      <c r="I16" s="175">
        <f>IF(ISERROR(IF(I$11="","",IF(I13="","-",IF($J$3=0,"-",(IF(I13&gt;0,I13,I12)/$J$3-1))))),"",IF(I$11="","",IF(I13="","-",IF($J$3=0,"-",(IF(I13&gt;0,I13,I12)/$J$3-1)))))</f>
        <v>1.5833142639982665</v>
      </c>
      <c r="J16" s="175">
        <f>IF(ISERROR(IF(J$11="","",IF(J13="","-",IF($J$3=0,"-",(IF(J13&gt;0,J13,J12)/$J$3-1))))),"",IF(J$11="","",IF(J13="","-",IF($J$3=0,"-",(IF(J13&gt;0,J13,J12)/$J$3-1)))))</f>
        <v>5.349104511812031</v>
      </c>
      <c r="K16" s="177" t="s">
        <v>44</v>
      </c>
    </row>
    <row r="17" ht="15" customHeight="1" s="48" customFormat="1">
      <c r="B17" s="107" t="s">
        <v>49</v>
      </c>
      <c r="C17" s="90"/>
      <c r="D17" s="90"/>
      <c r="E17" s="174">
        <f>IF(ISERROR(IF(E$11="","",IF(E13="","-",IF(ISERROR((E13-MIN($E$13:$K$13))/MIN($E$13:$K$13)),"-",(E13-MIN($E$13:$K$13))/MIN($E$13:$K$13))))),"",IF(E$11="","",IF(E13="","-",IF(ISERROR((E13-MIN($E$13:$K$13))/MIN($E$13:$K$13)),"-",(E13-MIN($E$13:$K$13))/MIN($E$13:$K$13)))))</f>
        <v>0</v>
      </c>
      <c r="F17" s="175">
        <f>IF(ISERROR(IF(F$11="","",IF(F13="","-",IF(ISERROR((F13-MIN($E$13:$K$13))/MIN($E$13:$K$13)),"-",(F13-MIN($E$13:$K$13))/MIN($E$13:$K$13))))),"",IF(F$11="","",IF(F13="","-",IF(ISERROR((F13-MIN($E$13:$K$13))/MIN($E$13:$K$13)),"-",(F13-MIN($E$13:$K$13))/MIN($E$13:$K$13)))))</f>
        <v>0.3240711838338345</v>
      </c>
      <c r="G17" s="176">
        <f>IF(ISERROR(IF(G$11="","",IF(G13="","-",IF(ISERROR((G13-MIN($E$13:$K$13))/MIN($E$13:$K$13)),"-",(G13-MIN($E$13:$K$13))/MIN($E$13:$K$13))))),"",IF(G$11="","",IF(G13="","-",IF(ISERROR((G13-MIN($E$13:$K$13))/MIN($E$13:$K$13)),"-",(G13-MIN($E$13:$K$13))/MIN($E$13:$K$13)))))</f>
        <v>0.6643871013575466</v>
      </c>
      <c r="H17" s="176" t="s">
        <v>44</v>
      </c>
      <c r="I17" s="175">
        <f>IF(ISERROR(IF(I$11="","",IF(I13="","-",IF(ISERROR((I13-MIN($E$13:$K$13))/MIN($E$13:$K$13)),"-",(I13-MIN($E$13:$K$13))/MIN($E$13:$K$13))))),"",IF(I$11="","",IF(I13="","-",IF(ISERROR((I13-MIN($E$13:$K$13))/MIN($E$13:$K$13)),"-",(I13-MIN($E$13:$K$13))/MIN($E$13:$K$13)))))</f>
        <v>1.7973431669452475</v>
      </c>
      <c r="J17" s="175">
        <f>IF(ISERROR(IF(J$11="","",IF(J13="","-",IF(ISERROR((J13-MIN($E$13:$K$13))/MIN($E$13:$K$13)),"-",(J13-MIN($E$13:$K$13))/MIN($E$13:$K$13))))),"",IF(J$11="","",IF(J13="","-",IF(ISERROR((J13-MIN($E$13:$K$13))/MIN($E$13:$K$13)),"-",(J13-MIN($E$13:$K$13))/MIN($E$13:$K$13)))))</f>
        <v>5.875131055425684</v>
      </c>
      <c r="K17" s="177" t="s">
        <v>44</v>
      </c>
    </row>
    <row r="18" ht="15" customHeight="1">
      <c r="B18" s="105" t="s">
        <v>50</v>
      </c>
      <c r="C18" s="90"/>
      <c r="D18" s="90"/>
      <c r="E18" s="206" t="s">
        <v>51</v>
      </c>
      <c r="F18" s="207" t="s">
        <v>51</v>
      </c>
      <c r="G18" s="208" t="s">
        <v>51</v>
      </c>
      <c r="H18" s="208" t="s">
        <v>44</v>
      </c>
      <c r="I18" s="208" t="s">
        <v>51</v>
      </c>
      <c r="J18" s="209" t="s">
        <v>51</v>
      </c>
      <c r="K18" s="210" t="s">
        <v>44</v>
      </c>
      <c r="L18" s="22"/>
    </row>
    <row r="19" ht="15" customHeight="1">
      <c r="B19" s="105" t="s">
        <v>52</v>
      </c>
      <c r="C19" s="90"/>
      <c r="D19" s="90"/>
      <c r="E19" s="206" t="s">
        <v>53</v>
      </c>
      <c r="F19" s="209" t="s">
        <v>53</v>
      </c>
      <c r="G19" s="209" t="s">
        <v>53</v>
      </c>
      <c r="H19" s="209" t="s">
        <v>54</v>
      </c>
      <c r="I19" s="209" t="s">
        <v>55</v>
      </c>
      <c r="J19" s="209" t="s">
        <v>55</v>
      </c>
      <c r="K19" s="210" t="s">
        <v>54</v>
      </c>
      <c r="L19" s="22"/>
    </row>
    <row r="20" ht="15" customHeight="1">
      <c r="B20" s="105" t="s">
        <v>56</v>
      </c>
      <c r="C20" s="90"/>
      <c r="D20" s="90"/>
      <c r="E20" s="206" t="s">
        <v>57</v>
      </c>
      <c r="F20" s="209" t="s">
        <v>57</v>
      </c>
      <c r="G20" s="209" t="s">
        <v>57</v>
      </c>
      <c r="H20" s="208"/>
      <c r="I20" s="209"/>
      <c r="J20" s="209"/>
      <c r="K20" s="210"/>
      <c r="L20" s="22"/>
    </row>
    <row r="21" ht="15" customHeight="1">
      <c r="B21" s="105" t="s">
        <v>58</v>
      </c>
      <c r="C21" s="90"/>
      <c r="D21" s="90"/>
      <c r="E21" s="206" t="s">
        <v>59</v>
      </c>
      <c r="F21" s="209" t="s">
        <v>59</v>
      </c>
      <c r="G21" s="208" t="s">
        <v>59</v>
      </c>
      <c r="H21" s="208" t="s">
        <v>44</v>
      </c>
      <c r="I21" s="208" t="s">
        <v>59</v>
      </c>
      <c r="J21" s="208" t="s">
        <v>59</v>
      </c>
      <c r="K21" s="210" t="s">
        <v>44</v>
      </c>
      <c r="L21" s="19"/>
    </row>
    <row r="22" ht="20.25" customHeight="1" s="48" customFormat="1">
      <c r="B22" s="275"/>
      <c r="C22" s="276"/>
      <c r="D22" s="276"/>
      <c r="E22" s="276"/>
      <c r="F22" s="276"/>
      <c r="G22" s="276"/>
      <c r="H22" s="276"/>
      <c r="I22" s="276"/>
      <c r="J22" s="276"/>
      <c r="K22" s="277"/>
      <c r="L22" s="19"/>
    </row>
    <row r="23" ht="3.75" customHeight="1">
      <c r="B23" s="127"/>
      <c r="K23" s="19"/>
      <c r="L23" s="19"/>
    </row>
    <row r="24" ht="16.5" customHeight="1">
      <c r="B24" s="161" t="s">
        <v>60</v>
      </c>
      <c r="C24" s="162"/>
      <c r="D24" s="162"/>
      <c r="E24" s="162"/>
      <c r="F24" s="162"/>
      <c r="G24" s="162"/>
      <c r="H24" s="162"/>
      <c r="I24" s="163"/>
      <c r="J24" s="163"/>
      <c r="K24" s="164"/>
      <c r="L24" s="19"/>
    </row>
    <row r="25" ht="12.75" customHeight="1">
      <c r="B25" s="160"/>
      <c r="K25" s="59"/>
      <c r="L25" s="19"/>
    </row>
    <row r="26" ht="30" customHeight="1" s="157" customFormat="1">
      <c r="B26" s="158"/>
      <c r="C26" s="181" t="s">
        <v>61</v>
      </c>
      <c r="D26" s="183" t="s">
        <v>62</v>
      </c>
      <c r="E26" s="192" t="s">
        <v>63</v>
      </c>
      <c r="F26" s="184" t="s">
        <v>64</v>
      </c>
      <c r="G26" s="187" t="s">
        <v>65</v>
      </c>
      <c r="H26" s="192" t="s">
        <v>66</v>
      </c>
      <c r="I26" s="184" t="s">
        <v>67</v>
      </c>
      <c r="K26" s="159"/>
    </row>
    <row r="27" ht="15" customHeight="1">
      <c r="B27" s="53"/>
      <c r="C27" s="182" t="s">
        <v>68</v>
      </c>
      <c r="D27" s="185" t="s">
        <v>69</v>
      </c>
      <c r="E27" s="193" t="s">
        <v>70</v>
      </c>
      <c r="F27" s="186" t="s">
        <v>71</v>
      </c>
      <c r="G27" s="188" t="s">
        <v>72</v>
      </c>
      <c r="H27" s="193" t="s">
        <v>73</v>
      </c>
      <c r="I27" s="186" t="s">
        <v>74</v>
      </c>
      <c r="J27" s="19"/>
      <c r="K27" s="151"/>
      <c r="L27" s="19"/>
    </row>
    <row r="28" ht="24.95" customHeight="1">
      <c r="B28" s="53"/>
      <c r="C28" s="215">
        <f>SMALL(E13:K13,1)</f>
        <v>44292027.3293824</v>
      </c>
      <c r="D28" s="216">
        <f>J3</f>
        <v>47961644.36</v>
      </c>
      <c r="E28" s="217">
        <f>D28-C28</f>
        <v>3669617.030617602</v>
      </c>
      <c r="F28" s="218">
        <f>C28/D28-1</f>
        <v>-0.07651149328979345</v>
      </c>
      <c r="G28" s="216">
        <f>SMALL((E12:G12,I12:J12),1)</f>
        <v>49025305.34</v>
      </c>
      <c r="H28" s="217">
        <f>G28-C28</f>
        <v>4733278.010617606</v>
      </c>
      <c r="I28" s="218">
        <f>C28/G28-1</f>
        <v>-0.09654764978599129</v>
      </c>
      <c r="J28" s="19"/>
      <c r="K28" s="152"/>
      <c r="L28" s="19"/>
    </row>
    <row r="29" ht="15" customHeight="1">
      <c r="B29" s="53"/>
      <c r="J29" s="150"/>
      <c r="K29" s="152"/>
      <c r="L29" s="19"/>
    </row>
    <row r="30" ht="4.5" customHeight="1">
      <c r="B30" s="61"/>
      <c r="C30" s="62"/>
      <c r="D30" s="62"/>
      <c r="E30" s="62"/>
      <c r="F30" s="62"/>
      <c r="G30" s="62"/>
      <c r="H30" s="62"/>
      <c r="I30" s="63"/>
      <c r="J30" s="63"/>
      <c r="K30" s="64"/>
    </row>
    <row r="31" ht="6" customHeight="1"/>
    <row r="32" ht="64.9" customHeight="1">
      <c r="B32" s="351" t="s">
        <v>75</v>
      </c>
      <c r="C32" s="393"/>
      <c r="D32" s="394"/>
      <c r="E32" s="394"/>
      <c r="F32" s="394"/>
      <c r="G32" s="394"/>
      <c r="H32" s="394"/>
      <c r="I32" s="394"/>
      <c r="J32" s="394"/>
      <c r="K32" s="395"/>
      <c r="L32" s="145"/>
    </row>
    <row r="33" hidden="1" ht="300" customHeight="1" s="18" customFormat="1">
      <c r="A33" s="19"/>
      <c r="B33" s="353"/>
      <c r="C33" s="396"/>
      <c r="D33" s="397"/>
      <c r="E33" s="397"/>
      <c r="F33" s="397"/>
      <c r="G33" s="397"/>
      <c r="H33" s="397"/>
      <c r="I33" s="397"/>
      <c r="J33" s="397"/>
      <c r="K33" s="398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</row>
    <row r="34" ht="43.9" customHeight="1" s="18" customFormat="1">
      <c r="A34" s="19"/>
      <c r="B34" s="353"/>
      <c r="C34" s="396"/>
      <c r="D34" s="397"/>
      <c r="E34" s="397"/>
      <c r="F34" s="397"/>
      <c r="G34" s="397"/>
      <c r="H34" s="397"/>
      <c r="I34" s="397"/>
      <c r="J34" s="397"/>
      <c r="K34" s="398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</row>
    <row r="35" ht="52.15" customHeight="1" s="18" customFormat="1">
      <c r="A35" s="19"/>
      <c r="B35" s="353"/>
      <c r="C35" s="396"/>
      <c r="D35" s="397"/>
      <c r="E35" s="397"/>
      <c r="F35" s="397"/>
      <c r="G35" s="397"/>
      <c r="H35" s="397"/>
      <c r="I35" s="397"/>
      <c r="J35" s="397"/>
      <c r="K35" s="398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</row>
    <row r="36" ht="52.9" customHeight="1" s="18" customFormat="1">
      <c r="A36" s="19"/>
      <c r="B36" s="353"/>
      <c r="C36" s="399"/>
      <c r="D36" s="400"/>
      <c r="E36" s="400"/>
      <c r="F36" s="400"/>
      <c r="G36" s="400"/>
      <c r="H36" s="400"/>
      <c r="I36" s="400"/>
      <c r="J36" s="400"/>
      <c r="K36" s="401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</row>
    <row r="37" ht="32.1" customHeight="1" s="18" customFormat="1">
      <c r="A37" s="19"/>
      <c r="B37" s="389" t="s">
        <v>76</v>
      </c>
      <c r="C37" s="390"/>
      <c r="D37" s="391" t="s">
        <v>35</v>
      </c>
      <c r="E37" s="392"/>
      <c r="F37" s="83" t="s">
        <v>77</v>
      </c>
      <c r="G37" s="219">
        <f>C28</f>
        <v>44292027.3293824</v>
      </c>
      <c r="H37" s="18" t="str">
        <f ref="H37:H37" t="array">fExtenso(G37)</f>
        <v>quarenta e quatro milhões duzentos e noventa e dois mil e vinte e sete, e trezentos e vinte e nove milhões trezentos e oitenta e dois mil e quatrocentos bilionésimos</v>
      </c>
      <c r="J37" s="128" t="s">
        <v>78</v>
      </c>
      <c r="K37" s="220">
        <v>36</v>
      </c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</row>
    <row r="38" ht="30.75" customHeight="1" s="18" customFormat="1">
      <c r="A38" s="19"/>
      <c r="B38" s="189" t="s">
        <v>79</v>
      </c>
      <c r="C38" s="221" t="s">
        <v>80</v>
      </c>
      <c r="D38" s="191" t="s">
        <v>81</v>
      </c>
      <c r="E38" s="222" t="s">
        <v>82</v>
      </c>
      <c r="F38" s="191" t="s">
        <v>83</v>
      </c>
      <c r="G38" s="222"/>
      <c r="H38" s="190" t="s">
        <v>84</v>
      </c>
      <c r="I38" s="223" t="s">
        <v>85</v>
      </c>
      <c r="J38" s="143" t="s">
        <v>86</v>
      </c>
      <c r="K38" s="224" t="s">
        <v>87</v>
      </c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</row>
    <row r="39" ht="39.95" customHeight="1" s="18" customFormat="1">
      <c r="A39" s="19"/>
      <c r="B39" s="196" t="s">
        <v>88</v>
      </c>
      <c r="C39" s="178"/>
      <c r="D39" s="194" t="s">
        <v>88</v>
      </c>
      <c r="E39" s="179"/>
      <c r="F39" s="194" t="s">
        <v>88</v>
      </c>
      <c r="G39" s="179"/>
      <c r="H39" s="195" t="s">
        <v>88</v>
      </c>
      <c r="I39" s="180"/>
      <c r="J39" s="195" t="s">
        <v>88</v>
      </c>
      <c r="K39" s="197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</row>
    <row r="40" ht="15" customHeight="1" s="18" customFormat="1">
      <c r="A40" s="19"/>
      <c r="B40" s="19"/>
      <c r="C40" s="19"/>
      <c r="D40" s="19"/>
      <c r="E40" s="19"/>
      <c r="F40" s="19"/>
      <c r="G40" s="19"/>
      <c r="H40" s="19"/>
      <c r="I40" s="48"/>
      <c r="J40" s="48"/>
      <c r="K40" s="48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</row>
    <row r="41" ht="15" customHeight="1" s="18" customFormat="1">
      <c r="A41" s="19"/>
      <c r="B41" s="19"/>
      <c r="C41" s="19"/>
      <c r="D41" s="19"/>
      <c r="E41" s="19"/>
      <c r="F41" s="19"/>
      <c r="G41" s="19"/>
      <c r="H41" s="19"/>
      <c r="I41" s="48"/>
      <c r="J41" s="48"/>
      <c r="K41" s="48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</row>
    <row r="42" ht="15" customHeight="1" s="18" customFormat="1">
      <c r="A42" s="19"/>
      <c r="B42" s="19"/>
      <c r="C42" s="19"/>
      <c r="D42" s="19"/>
      <c r="E42" s="19"/>
      <c r="F42" s="19"/>
      <c r="G42" s="19"/>
      <c r="H42" s="19"/>
      <c r="I42" s="48"/>
      <c r="J42" s="48"/>
      <c r="K42" s="48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</row>
  </sheetData>
  <sheetProtection formatCells="0" formatColumns="0" formatRows="0" insertRows="0" deleteRows="0"/>
  <dataConsolidate function="max"/>
  <mergeCells>
    <mergeCell ref="B4:B5"/>
    <mergeCell ref="C4:I5"/>
    <mergeCell ref="J4:K4"/>
    <mergeCell ref="J5:K5"/>
    <mergeCell ref="B6:B7"/>
    <mergeCell ref="J3:K3"/>
    <mergeCell ref="C1:H1"/>
    <mergeCell ref="I1:K1"/>
    <mergeCell ref="J2:K2"/>
    <mergeCell ref="E2:F2"/>
    <mergeCell ref="E3:F3"/>
    <mergeCell ref="C6:I7"/>
    <mergeCell ref="J6:K6"/>
    <mergeCell ref="J7:K7"/>
    <mergeCell ref="B37:C37"/>
    <mergeCell ref="B32:B36"/>
    <mergeCell ref="D37:E37"/>
    <mergeCell ref="C32:K36"/>
    <mergeCell ref="B22:K22"/>
    <mergeCell ref="B8:K8"/>
    <mergeCell ref="B9:D9"/>
    <mergeCell ref="B10:D10"/>
  </mergeCells>
  <conditionalFormatting sqref="E12 G12 E10:G11 E13:G17 H21 K21 F19:F20 E18:E20 G18:G20 H10:K20">
    <cfRule type="expression" dxfId="0" priority="56" stopIfTrue="1">
      <formula>E$11=""</formula>
    </cfRule>
  </conditionalFormatting>
  <conditionalFormatting sqref="D28 G26:G27">
    <cfRule type="cellIs" dxfId="3" priority="55" stopIfTrue="1" operator="equal">
      <formula>0</formula>
    </cfRule>
  </conditionalFormatting>
  <conditionalFormatting sqref="E21:G21">
    <cfRule type="expression" dxfId="0" priority="3" stopIfTrue="1">
      <formula>E$11=""</formula>
    </cfRule>
  </conditionalFormatting>
  <conditionalFormatting sqref="I21">
    <cfRule type="expression" dxfId="0" priority="2" stopIfTrue="1">
      <formula>I$11=""</formula>
    </cfRule>
  </conditionalFormatting>
  <conditionalFormatting sqref="J21">
    <cfRule type="expression" dxfId="0" priority="1" stopIfTrue="1">
      <formula>J$11=""</formula>
    </cfRule>
  </conditionalFormatting>
  <dataValidations count="5">
    <dataValidation type="list" allowBlank="1" showInputMessage="1" showErrorMessage="1" sqref="J7" xr:uid="{6DDEF251-A59C-47B4-8E4B-D4250D5602A3}">
      <formula1>"Sim, Não"</formula1>
    </dataValidation>
    <dataValidation type="list" allowBlank="1" showInputMessage="1" showErrorMessage="1" sqref="E20:G20 I20:K20" xr:uid="{34787D1A-16FC-4CC9-B4A4-057FB896569F}">
      <formula1>"NÃO APLICÁVEL,APTA,INAPTA"</formula1>
    </dataValidation>
    <dataValidation type="list" allowBlank="1" showInputMessage="1" showErrorMessage="1" sqref="E21:G21 I21:J21" xr:uid="{CC0A7C6D-3EA1-4B2B-ADE8-F5AB6EFDCEAC}">
      <formula1>"NÃO APLICÁVEL,FAVORÁVEL,NÃO FAVORÁVEL"</formula1>
    </dataValidation>
    <dataValidation type="list" allowBlank="1" showInputMessage="1" showErrorMessage="1" sqref="D3" xr:uid="{8AEA8FD3-1C94-437D-9F1C-6A4EF1B2799B}">
      <formula1>"Serviço, Material,Serviço e Material"</formula1>
    </dataValidation>
    <dataValidation type="list" allowBlank="1" showInputMessage="1" showErrorMessage="1" sqref="E19:K19" xr:uid="{C6D6F71F-F06C-4E52-B86E-C7DFD9B154E7}">
      <formula1>"APROVADO,NÃO APROVADO,DECLINIOU"</formula1>
    </dataValidation>
  </dataValidations>
  <printOptions horizontalCentered="1" verticalCentered="1"/>
  <pageMargins left="0.25" right="0.25" top="0.75" bottom="0.75" header="0.3" footer="0.3"/>
  <pageSetup paperSize="9" scale="40" fitToHeight="0" orientation="portrait" cellComments="asDisplayed"/>
  <headerFooter alignWithMargins="0"/>
  <drawing r:id="rId2"/>
  <legacyDrawing r:id="rId3"/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136859BB8F0D44FAB5205C920AAFF03" ma:contentTypeVersion="8" ma:contentTypeDescription="Crie um novo documento." ma:contentTypeScope="" ma:versionID="ef8034cb01f5e2ab51be30d119131a06">
  <xsd:schema xmlns:xsd="http://www.w3.org/2001/XMLSchema" xmlns:xs="http://www.w3.org/2001/XMLSchema" xmlns:p="http://schemas.microsoft.com/office/2006/metadata/properties" xmlns:ns1="http://schemas.microsoft.com/sharepoint/v3" xmlns:ns2="c53c4daa-0b30-43d0-815c-3731f1ee98cb" targetNamespace="http://schemas.microsoft.com/office/2006/metadata/properties" ma:root="true" ma:fieldsID="19de6f326747424519d4d56e2c277038" ns1:_="" ns2:_="">
    <xsd:import namespace="http://schemas.microsoft.com/sharepoint/v3"/>
    <xsd:import namespace="c53c4daa-0b30-43d0-815c-3731f1ee98c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0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1" nillable="true" ma:displayName="Ação de Interface do Usuário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3c4daa-0b30-43d0-815c-3731f1ee98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0978DA99-C319-4B40-B8E2-1225D8785717}"/>
</file>

<file path=customXml/itemProps2.xml><?xml version="1.0" encoding="utf-8"?>
<ds:datastoreItem xmlns:ds="http://schemas.openxmlformats.org/officeDocument/2006/customXml" ds:itemID="{39242A59-3E72-497E-A367-E4D7B8439075}"/>
</file>

<file path=customXml/itemProps3.xml><?xml version="1.0" encoding="utf-8"?>
<ds:datastoreItem xmlns:ds="http://schemas.openxmlformats.org/officeDocument/2006/customXml" ds:itemID="{4244AFE7-E6FD-4264-A02B-22CC433AC69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 Carla Ferreira Duarte</dc:creator>
  <cp:keywords/>
  <dc:description/>
  <cp:lastModifiedBy>Gouvêa, Rômulo (Vetta Tecnologia S.A.)</cp:lastModifiedBy>
  <cp:revision/>
  <dcterms:created xsi:type="dcterms:W3CDTF">2019-11-20T21:56:11Z</dcterms:created>
  <dcterms:modified xsi:type="dcterms:W3CDTF">2021-11-04T13:44:01Z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0x0101002136859BB8F0D44FAB5205C920AAFF03</vt:lpwstr>
  </property>
</Properties>
</file>